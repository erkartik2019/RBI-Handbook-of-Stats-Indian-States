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Kartik\Desktop\BI\Datasets\RBI Handbook of Stats on Indian States\"/>
    </mc:Choice>
  </mc:AlternateContent>
  <xr:revisionPtr revIDLastSave="0" documentId="13_ncr:1_{4837C0B4-28C6-4A65-B4D0-90F7BBDDAAC2}" xr6:coauthVersionLast="47" xr6:coauthVersionMax="47" xr10:uidLastSave="{00000000-0000-0000-0000-000000000000}"/>
  <bookViews>
    <workbookView xWindow="-120" yWindow="-120" windowWidth="29040" windowHeight="15720" xr2:uid="{00000000-000D-0000-FFFF-FFFF00000000}"/>
  </bookViews>
  <sheets>
    <sheet name="State-Wise No. of Factories" sheetId="4" r:id="rId1"/>
    <sheet name="T_120(i)" sheetId="1" r:id="rId2"/>
    <sheet name="T_120(ii)"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4" l="1"/>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3" i="4"/>
</calcChain>
</file>

<file path=xl/sharedStrings.xml><?xml version="1.0" encoding="utf-8"?>
<sst xmlns="http://schemas.openxmlformats.org/spreadsheetml/2006/main" count="242" uniqueCount="70">
  <si>
    <t>(Units)</t>
  </si>
  <si>
    <t>Year</t>
  </si>
  <si>
    <t>Andaman &amp; Nicobar Islands</t>
  </si>
  <si>
    <t>Andhra Pradesh</t>
  </si>
  <si>
    <t>Arunachal Pradesh</t>
  </si>
  <si>
    <t>Assam</t>
  </si>
  <si>
    <t>Bihar</t>
  </si>
  <si>
    <t>Chandigarh</t>
  </si>
  <si>
    <t>Chhattisgarh</t>
  </si>
  <si>
    <t>Dadra &amp; Nagar Haveli</t>
  </si>
  <si>
    <t>Daman &amp; Diu</t>
  </si>
  <si>
    <t>-</t>
  </si>
  <si>
    <t>2011-12</t>
  </si>
  <si>
    <t>2012-13</t>
  </si>
  <si>
    <t>2013-14</t>
  </si>
  <si>
    <t>2014-15</t>
  </si>
  <si>
    <t>2015-16</t>
  </si>
  <si>
    <t>2016-17</t>
  </si>
  <si>
    <t>2017-18</t>
  </si>
  <si>
    <t>2018-19</t>
  </si>
  <si>
    <t>2019-20</t>
  </si>
  <si>
    <t>2020-21</t>
  </si>
  <si>
    <t>.</t>
  </si>
  <si>
    <t>2021-22</t>
  </si>
  <si>
    <t>2022-23</t>
  </si>
  <si>
    <t>Delhi</t>
  </si>
  <si>
    <t>Goa</t>
  </si>
  <si>
    <t>Gujarat</t>
  </si>
  <si>
    <t>Haryana</t>
  </si>
  <si>
    <t>Himachal Pradesh</t>
  </si>
  <si>
    <t>Jammu &amp; Kashmir</t>
  </si>
  <si>
    <t>Jharkhand</t>
  </si>
  <si>
    <t>Karnataka</t>
  </si>
  <si>
    <t>TABLE 120: STATE-WISE NUMBER OF FACTORIES (Concld.)</t>
  </si>
  <si>
    <t>Kerala</t>
  </si>
  <si>
    <t>Ladakh</t>
  </si>
  <si>
    <t>Madhya Pradesh</t>
  </si>
  <si>
    <t>Maharashtra</t>
  </si>
  <si>
    <t>Manipur</t>
  </si>
  <si>
    <t>Meghalaya</t>
  </si>
  <si>
    <t>Mizoram</t>
  </si>
  <si>
    <t>Nagaland</t>
  </si>
  <si>
    <t>Odisha</t>
  </si>
  <si>
    <t>Puducherry</t>
  </si>
  <si>
    <t>Punjab</t>
  </si>
  <si>
    <t>Rajasthan</t>
  </si>
  <si>
    <t>Sikkim</t>
  </si>
  <si>
    <t>Tamil Nadu</t>
  </si>
  <si>
    <t>Telangana</t>
  </si>
  <si>
    <t>Tripura</t>
  </si>
  <si>
    <t>Uttar Pradesh</t>
  </si>
  <si>
    <t>West Bengal</t>
  </si>
  <si>
    <t>All-India</t>
  </si>
  <si>
    <t>.: Not Applicable. -: Not Available.</t>
  </si>
  <si>
    <t>Notes: 1. Even though erstwhile Andhra Pradesh was divided into Andhra Pradesh and Telangana w.e.f June 2, 2014, ASI data published for the years 2012-13 and 2013-14 contained break-up figures for the two states, separately.</t>
  </si>
  <si>
    <t>2. Data for Arunachal Pradesh has been included in ASI from 2014-15.</t>
  </si>
  <si>
    <t>3. Reference period for ASI 2018-19 is the accounting year of the factory, ending on any day during the fiscal year 2018-19. The field work of ASI 2018-19 was adversely affected by the pandemic situation prevailing in the country, which stretched the survey period beyond its stipulated time. The survey was conducted during November 2019 to November 2020 through ASI Web Portal.</t>
  </si>
  <si>
    <t>4. Separate estimates for UTs Jammu &amp; Kashmir and Ladakh were available in ASI 2019-20 as the erstwhile State of Jammu &amp; Kashmir was divided in two UTs viz., Jammu &amp; Kashmir and Ladakh w.e.f Oct 31, 2019.</t>
  </si>
  <si>
    <t>5. Mizoram was included for the first time in ASI 2019-20.</t>
  </si>
  <si>
    <t>6. Combined estimates for Dadra &amp; Nagar Haveli and Daman &amp; Diu were available in ASI 2020-21 onwards as the erstwhile separate UTs Dadra &amp; Nagar Haveli and Daman &amp; Diu were merged into single UT.</t>
  </si>
  <si>
    <t>Source: Annual Survey of Industries (ASI), Ministry of Statistics and Programme Implementation, Government of India.</t>
  </si>
  <si>
    <t>Uttarakhand</t>
  </si>
  <si>
    <t>State/Union Territory</t>
  </si>
  <si>
    <t>Sum</t>
  </si>
  <si>
    <t>Average</t>
  </si>
  <si>
    <t>Running Total</t>
  </si>
  <si>
    <t>Count</t>
  </si>
  <si>
    <t>TABLE 120: STATE-WISE NUMBER OF FACTORIES (Units)</t>
  </si>
  <si>
    <t>STATE-WISE NUMBER OF FACTORIES (Units)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</si>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</sst>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3" fontId="0" fillId="0" borderId="0" xfId="0" applyNumberFormat="1"/>
    <xf numFmtId="3" fontId="3" fillId="0" borderId="0" xfId="0" applyNumberFormat="1" applyFont="1"/>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ACE53-1B33-4759-AE37-7B2E68237F61}">
  <dimension ref="A1:N39"/>
  <sheetViews>
    <sheetView tabSelected="1" workbookViewId="0">
      <selection activeCell="J12" sqref="J12"/>
    </sheetView>
  </sheetViews>
  <sheetFormatPr defaultRowHeight="15" x14ac:dyDescent="0.25"/>
  <cols>
    <col min="1" max="1" width="25.7109375" bestFit="1" customWidth="1"/>
    <col min="2" max="13" width="9.5703125" bestFit="1" customWidth="1"/>
  </cols>
  <sheetData>
    <row r="1" spans="1:14" s="10" customFormat="1" x14ac:dyDescent="0.25">
      <c r="A1" s="13" t="s">
        <v>68</v>
      </c>
      <c r="B1" s="13"/>
      <c r="C1" s="13"/>
      <c r="D1" s="13"/>
      <c r="E1" s="13"/>
      <c r="F1" s="13"/>
      <c r="G1" s="13"/>
      <c r="H1" s="13"/>
      <c r="I1" s="13"/>
      <c r="J1" s="13"/>
      <c r="K1" s="13"/>
      <c r="L1" s="13"/>
      <c r="M1" s="13"/>
    </row>
    <row r="2" spans="1:14" s="10" customFormat="1" x14ac:dyDescent="0.25">
      <c r="A2" s="10" t="s">
        <v>62</v>
      </c>
      <c r="B2" s="10" t="s">
        <v>12</v>
      </c>
      <c r="C2" s="10" t="s">
        <v>13</v>
      </c>
      <c r="D2" s="10" t="s">
        <v>14</v>
      </c>
      <c r="E2" s="10" t="s">
        <v>15</v>
      </c>
      <c r="F2" s="10" t="s">
        <v>16</v>
      </c>
      <c r="G2" s="10" t="s">
        <v>17</v>
      </c>
      <c r="H2" s="10" t="s">
        <v>18</v>
      </c>
      <c r="I2" s="10" t="s">
        <v>19</v>
      </c>
      <c r="J2" s="10" t="s">
        <v>20</v>
      </c>
      <c r="K2" s="10" t="s">
        <v>21</v>
      </c>
      <c r="L2" s="10" t="s">
        <v>23</v>
      </c>
      <c r="M2" s="10" t="s">
        <v>24</v>
      </c>
      <c r="N2" s="10" t="s">
        <v>69</v>
      </c>
    </row>
    <row r="3" spans="1:14" x14ac:dyDescent="0.25">
      <c r="A3" t="s">
        <v>2</v>
      </c>
      <c r="B3" s="11">
        <v>18</v>
      </c>
      <c r="C3" s="11">
        <v>24</v>
      </c>
      <c r="D3" s="11">
        <v>20</v>
      </c>
      <c r="E3" s="11">
        <v>20</v>
      </c>
      <c r="F3" s="11">
        <v>19</v>
      </c>
      <c r="G3" s="11">
        <v>18</v>
      </c>
      <c r="H3" s="11">
        <v>18</v>
      </c>
      <c r="I3" s="11">
        <v>14</v>
      </c>
      <c r="J3" s="11">
        <v>15</v>
      </c>
      <c r="K3" s="11">
        <v>13</v>
      </c>
      <c r="L3" s="11">
        <v>13</v>
      </c>
      <c r="M3" s="11">
        <v>14</v>
      </c>
      <c r="N3" s="11">
        <f>SUM(B3:M3)</f>
        <v>206</v>
      </c>
    </row>
    <row r="4" spans="1:14" x14ac:dyDescent="0.25">
      <c r="A4" t="s">
        <v>3</v>
      </c>
      <c r="B4" s="11">
        <v>27708</v>
      </c>
      <c r="C4" s="11">
        <v>15358</v>
      </c>
      <c r="D4" s="11">
        <v>15719</v>
      </c>
      <c r="E4" s="11">
        <v>16012</v>
      </c>
      <c r="F4" s="11">
        <v>16340</v>
      </c>
      <c r="G4" s="11">
        <v>16246</v>
      </c>
      <c r="H4" s="11">
        <v>16296</v>
      </c>
      <c r="I4" s="11">
        <v>16739</v>
      </c>
      <c r="J4" s="11">
        <v>16924</v>
      </c>
      <c r="K4" s="11">
        <v>16937</v>
      </c>
      <c r="L4" s="11">
        <v>16925</v>
      </c>
      <c r="M4" s="11">
        <v>16483</v>
      </c>
      <c r="N4" s="11">
        <f t="shared" ref="N4:N39" si="0">SUM(B4:M4)</f>
        <v>207687</v>
      </c>
    </row>
    <row r="5" spans="1:14" x14ac:dyDescent="0.25">
      <c r="A5" t="s">
        <v>4</v>
      </c>
      <c r="B5" s="11" t="s">
        <v>11</v>
      </c>
      <c r="C5" s="11" t="s">
        <v>11</v>
      </c>
      <c r="D5" s="11" t="s">
        <v>11</v>
      </c>
      <c r="E5" s="11">
        <v>124</v>
      </c>
      <c r="F5" s="11">
        <v>120</v>
      </c>
      <c r="G5" s="11">
        <v>125</v>
      </c>
      <c r="H5" s="11">
        <v>117</v>
      </c>
      <c r="I5" s="11">
        <v>115</v>
      </c>
      <c r="J5" s="11">
        <v>116</v>
      </c>
      <c r="K5" s="11">
        <v>109</v>
      </c>
      <c r="L5" s="11">
        <v>211</v>
      </c>
      <c r="M5" s="11">
        <v>198</v>
      </c>
      <c r="N5" s="11">
        <f t="shared" si="0"/>
        <v>1235</v>
      </c>
    </row>
    <row r="6" spans="1:14" x14ac:dyDescent="0.25">
      <c r="A6" t="s">
        <v>5</v>
      </c>
      <c r="B6" s="11">
        <v>3019</v>
      </c>
      <c r="C6" s="11">
        <v>3303</v>
      </c>
      <c r="D6" s="11">
        <v>3518</v>
      </c>
      <c r="E6" s="11">
        <v>3717</v>
      </c>
      <c r="F6" s="11">
        <v>3890</v>
      </c>
      <c r="G6" s="11">
        <v>4154</v>
      </c>
      <c r="H6" s="11">
        <v>4538</v>
      </c>
      <c r="I6" s="11">
        <v>5020</v>
      </c>
      <c r="J6" s="11">
        <v>5196</v>
      </c>
      <c r="K6" s="11">
        <v>5354</v>
      </c>
      <c r="L6" s="11">
        <v>5480</v>
      </c>
      <c r="M6" s="11">
        <v>5712</v>
      </c>
      <c r="N6" s="11">
        <f t="shared" si="0"/>
        <v>52901</v>
      </c>
    </row>
    <row r="7" spans="1:14" x14ac:dyDescent="0.25">
      <c r="A7" t="s">
        <v>6</v>
      </c>
      <c r="B7" s="11">
        <v>3231</v>
      </c>
      <c r="C7" s="11">
        <v>3345</v>
      </c>
      <c r="D7" s="11">
        <v>3419</v>
      </c>
      <c r="E7" s="11">
        <v>3529</v>
      </c>
      <c r="F7" s="11">
        <v>3623</v>
      </c>
      <c r="G7" s="11">
        <v>3531</v>
      </c>
      <c r="H7" s="11">
        <v>3461</v>
      </c>
      <c r="I7" s="11">
        <v>3422</v>
      </c>
      <c r="J7" s="11">
        <v>3429</v>
      </c>
      <c r="K7" s="11">
        <v>3367</v>
      </c>
      <c r="L7" s="11">
        <v>3289</v>
      </c>
      <c r="M7" s="11">
        <v>3307</v>
      </c>
      <c r="N7" s="11">
        <f t="shared" si="0"/>
        <v>40953</v>
      </c>
    </row>
    <row r="8" spans="1:14" x14ac:dyDescent="0.25">
      <c r="A8" t="s">
        <v>7</v>
      </c>
      <c r="B8" s="11">
        <v>308</v>
      </c>
      <c r="C8" s="11">
        <v>297</v>
      </c>
      <c r="D8" s="11">
        <v>285</v>
      </c>
      <c r="E8" s="11">
        <v>276</v>
      </c>
      <c r="F8" s="11">
        <v>262</v>
      </c>
      <c r="G8" s="11">
        <v>248</v>
      </c>
      <c r="H8" s="11">
        <v>233</v>
      </c>
      <c r="I8" s="11">
        <v>233</v>
      </c>
      <c r="J8" s="11">
        <v>250</v>
      </c>
      <c r="K8" s="11">
        <v>248</v>
      </c>
      <c r="L8" s="11">
        <v>241</v>
      </c>
      <c r="M8" s="11">
        <v>229</v>
      </c>
      <c r="N8" s="11">
        <f t="shared" si="0"/>
        <v>3110</v>
      </c>
    </row>
    <row r="9" spans="1:14" x14ac:dyDescent="0.25">
      <c r="A9" t="s">
        <v>8</v>
      </c>
      <c r="B9" s="11">
        <v>2472</v>
      </c>
      <c r="C9" s="11">
        <v>2441</v>
      </c>
      <c r="D9" s="11">
        <v>2534</v>
      </c>
      <c r="E9" s="11">
        <v>2809</v>
      </c>
      <c r="F9" s="11">
        <v>3037</v>
      </c>
      <c r="G9" s="11">
        <v>3109</v>
      </c>
      <c r="H9" s="11">
        <v>3352</v>
      </c>
      <c r="I9" s="11">
        <v>3576</v>
      </c>
      <c r="J9" s="11">
        <v>3892</v>
      </c>
      <c r="K9" s="11">
        <v>4143</v>
      </c>
      <c r="L9" s="11">
        <v>4397</v>
      </c>
      <c r="M9" s="11">
        <v>4717</v>
      </c>
      <c r="N9" s="11">
        <f t="shared" si="0"/>
        <v>40479</v>
      </c>
    </row>
    <row r="10" spans="1:14" x14ac:dyDescent="0.25">
      <c r="A10" t="s">
        <v>9</v>
      </c>
      <c r="B10" s="11">
        <v>1480</v>
      </c>
      <c r="C10" s="11">
        <v>1413</v>
      </c>
      <c r="D10" s="11">
        <v>1405</v>
      </c>
      <c r="E10" s="11">
        <v>1411</v>
      </c>
      <c r="F10" s="11">
        <v>1392</v>
      </c>
      <c r="G10" s="11">
        <v>1369</v>
      </c>
      <c r="H10" s="11">
        <v>1355</v>
      </c>
      <c r="I10" s="11">
        <v>1335</v>
      </c>
      <c r="J10" s="11">
        <v>1355</v>
      </c>
      <c r="K10" s="11">
        <v>2995</v>
      </c>
      <c r="L10" s="11">
        <v>2891</v>
      </c>
      <c r="M10" s="11">
        <v>2783</v>
      </c>
      <c r="N10" s="11">
        <f t="shared" si="0"/>
        <v>21184</v>
      </c>
    </row>
    <row r="11" spans="1:14" x14ac:dyDescent="0.25">
      <c r="A11" t="s">
        <v>10</v>
      </c>
      <c r="B11" s="11">
        <v>1950</v>
      </c>
      <c r="C11" s="11">
        <v>1885</v>
      </c>
      <c r="D11" s="11">
        <v>1881</v>
      </c>
      <c r="E11" s="11">
        <v>1874</v>
      </c>
      <c r="F11" s="11">
        <v>1832</v>
      </c>
      <c r="G11" s="11">
        <v>1799</v>
      </c>
      <c r="H11" s="11">
        <v>1745</v>
      </c>
      <c r="I11" s="11">
        <v>1709</v>
      </c>
      <c r="J11" s="11">
        <v>1682</v>
      </c>
      <c r="K11" s="11" t="s">
        <v>22</v>
      </c>
      <c r="L11" s="11" t="s">
        <v>22</v>
      </c>
      <c r="M11" s="11" t="s">
        <v>22</v>
      </c>
      <c r="N11" s="11">
        <f t="shared" si="0"/>
        <v>16357</v>
      </c>
    </row>
    <row r="12" spans="1:14" x14ac:dyDescent="0.25">
      <c r="A12" t="s">
        <v>25</v>
      </c>
      <c r="B12" s="11">
        <v>3849</v>
      </c>
      <c r="C12" s="11">
        <v>3958</v>
      </c>
      <c r="D12" s="11">
        <v>3918</v>
      </c>
      <c r="E12" s="11">
        <v>3868</v>
      </c>
      <c r="F12" s="11">
        <v>3776</v>
      </c>
      <c r="G12" s="11">
        <v>3507</v>
      </c>
      <c r="H12" s="11">
        <v>3432</v>
      </c>
      <c r="I12" s="11">
        <v>3376</v>
      </c>
      <c r="J12" s="11">
        <v>3259</v>
      </c>
      <c r="K12" s="11">
        <v>3174</v>
      </c>
      <c r="L12" s="11">
        <v>3007</v>
      </c>
      <c r="M12" s="11">
        <v>3063</v>
      </c>
      <c r="N12" s="11">
        <f t="shared" si="0"/>
        <v>42187</v>
      </c>
    </row>
    <row r="13" spans="1:14" x14ac:dyDescent="0.25">
      <c r="A13" t="s">
        <v>26</v>
      </c>
      <c r="B13" s="11">
        <v>586</v>
      </c>
      <c r="C13" s="11">
        <v>597</v>
      </c>
      <c r="D13" s="11">
        <v>618</v>
      </c>
      <c r="E13" s="11">
        <v>635</v>
      </c>
      <c r="F13" s="11">
        <v>654</v>
      </c>
      <c r="G13" s="11">
        <v>647</v>
      </c>
      <c r="H13" s="11">
        <v>715</v>
      </c>
      <c r="I13" s="11">
        <v>708</v>
      </c>
      <c r="J13" s="11">
        <v>711</v>
      </c>
      <c r="K13" s="11">
        <v>720</v>
      </c>
      <c r="L13" s="11">
        <v>695</v>
      </c>
      <c r="M13" s="11">
        <v>694</v>
      </c>
      <c r="N13" s="11">
        <f t="shared" si="0"/>
        <v>7980</v>
      </c>
    </row>
    <row r="14" spans="1:14" x14ac:dyDescent="0.25">
      <c r="A14" t="s">
        <v>27</v>
      </c>
      <c r="B14" s="11">
        <v>22220</v>
      </c>
      <c r="C14" s="11">
        <v>22587</v>
      </c>
      <c r="D14" s="11">
        <v>22876</v>
      </c>
      <c r="E14" s="11">
        <v>23433</v>
      </c>
      <c r="F14" s="11">
        <v>24426</v>
      </c>
      <c r="G14" s="11">
        <v>25966</v>
      </c>
      <c r="H14" s="11">
        <v>26586</v>
      </c>
      <c r="I14" s="11">
        <v>26842</v>
      </c>
      <c r="J14" s="11">
        <v>28479</v>
      </c>
      <c r="K14" s="11">
        <v>29497</v>
      </c>
      <c r="L14" s="11">
        <v>29766</v>
      </c>
      <c r="M14" s="11">
        <v>31031</v>
      </c>
      <c r="N14" s="11">
        <f t="shared" si="0"/>
        <v>313709</v>
      </c>
    </row>
    <row r="15" spans="1:14" x14ac:dyDescent="0.25">
      <c r="A15" t="s">
        <v>28</v>
      </c>
      <c r="B15" s="11">
        <v>6142</v>
      </c>
      <c r="C15" s="11">
        <v>6163</v>
      </c>
      <c r="D15" s="11">
        <v>6117</v>
      </c>
      <c r="E15" s="11">
        <v>8243</v>
      </c>
      <c r="F15" s="11">
        <v>7953</v>
      </c>
      <c r="G15" s="11">
        <v>8503</v>
      </c>
      <c r="H15" s="11">
        <v>8891</v>
      </c>
      <c r="I15" s="11">
        <v>11835</v>
      </c>
      <c r="J15" s="11">
        <v>11252</v>
      </c>
      <c r="K15" s="11">
        <v>11638</v>
      </c>
      <c r="L15" s="11">
        <v>11294</v>
      </c>
      <c r="M15" s="11">
        <v>10603</v>
      </c>
      <c r="N15" s="11">
        <f t="shared" si="0"/>
        <v>108634</v>
      </c>
    </row>
    <row r="16" spans="1:14" x14ac:dyDescent="0.25">
      <c r="A16" t="s">
        <v>29</v>
      </c>
      <c r="B16" s="11">
        <v>2489</v>
      </c>
      <c r="C16" s="11">
        <v>2654</v>
      </c>
      <c r="D16" s="11">
        <v>2806</v>
      </c>
      <c r="E16" s="11">
        <v>2784</v>
      </c>
      <c r="F16" s="11">
        <v>2767</v>
      </c>
      <c r="G16" s="11">
        <v>2721</v>
      </c>
      <c r="H16" s="11">
        <v>2671</v>
      </c>
      <c r="I16" s="11">
        <v>2691</v>
      </c>
      <c r="J16" s="11">
        <v>2687</v>
      </c>
      <c r="K16" s="11">
        <v>2677</v>
      </c>
      <c r="L16" s="11">
        <v>2665</v>
      </c>
      <c r="M16" s="11">
        <v>2632</v>
      </c>
      <c r="N16" s="11">
        <f t="shared" si="0"/>
        <v>32244</v>
      </c>
    </row>
    <row r="17" spans="1:14" x14ac:dyDescent="0.25">
      <c r="A17" t="s">
        <v>30</v>
      </c>
      <c r="B17" s="11">
        <v>861</v>
      </c>
      <c r="C17" s="11">
        <v>955</v>
      </c>
      <c r="D17" s="11">
        <v>943</v>
      </c>
      <c r="E17" s="11">
        <v>965</v>
      </c>
      <c r="F17" s="11">
        <v>945</v>
      </c>
      <c r="G17" s="11">
        <v>1016</v>
      </c>
      <c r="H17" s="11">
        <v>1019</v>
      </c>
      <c r="I17" s="11">
        <v>1000</v>
      </c>
      <c r="J17" s="11">
        <v>1022</v>
      </c>
      <c r="K17" s="11">
        <v>1009</v>
      </c>
      <c r="L17" s="11">
        <v>1009</v>
      </c>
      <c r="M17" s="11">
        <v>1015</v>
      </c>
      <c r="N17" s="11">
        <f t="shared" si="0"/>
        <v>11759</v>
      </c>
    </row>
    <row r="18" spans="1:14" x14ac:dyDescent="0.25">
      <c r="A18" t="s">
        <v>31</v>
      </c>
      <c r="B18" s="11">
        <v>2556</v>
      </c>
      <c r="C18" s="11">
        <v>2697</v>
      </c>
      <c r="D18" s="11">
        <v>2688</v>
      </c>
      <c r="E18" s="11">
        <v>2738</v>
      </c>
      <c r="F18" s="11">
        <v>2831</v>
      </c>
      <c r="G18" s="11">
        <v>2858</v>
      </c>
      <c r="H18" s="11">
        <v>2866</v>
      </c>
      <c r="I18" s="11">
        <v>2857</v>
      </c>
      <c r="J18" s="11">
        <v>2875</v>
      </c>
      <c r="K18" s="11">
        <v>2862</v>
      </c>
      <c r="L18" s="11">
        <v>2879</v>
      </c>
      <c r="M18" s="11">
        <v>2897</v>
      </c>
      <c r="N18" s="11">
        <f t="shared" si="0"/>
        <v>33604</v>
      </c>
    </row>
    <row r="19" spans="1:14" x14ac:dyDescent="0.25">
      <c r="A19" t="s">
        <v>32</v>
      </c>
      <c r="B19" s="11">
        <v>11460</v>
      </c>
      <c r="C19" s="11">
        <v>11753</v>
      </c>
      <c r="D19" s="11">
        <v>12107</v>
      </c>
      <c r="E19" s="11">
        <v>12566</v>
      </c>
      <c r="F19" s="11">
        <v>12973</v>
      </c>
      <c r="G19" s="11">
        <v>13344</v>
      </c>
      <c r="H19" s="11">
        <v>13518</v>
      </c>
      <c r="I19" s="11">
        <v>13789</v>
      </c>
      <c r="J19" s="11">
        <v>14169</v>
      </c>
      <c r="K19" s="11">
        <v>14235</v>
      </c>
      <c r="L19" s="11">
        <v>14302</v>
      </c>
      <c r="M19" s="11">
        <v>14510</v>
      </c>
      <c r="N19" s="11">
        <f t="shared" si="0"/>
        <v>158726</v>
      </c>
    </row>
    <row r="20" spans="1:14" x14ac:dyDescent="0.25">
      <c r="A20" t="s">
        <v>34</v>
      </c>
      <c r="B20" s="11">
        <v>7031</v>
      </c>
      <c r="C20" s="11">
        <v>7129</v>
      </c>
      <c r="D20" s="11">
        <v>7132</v>
      </c>
      <c r="E20" s="11">
        <v>7320</v>
      </c>
      <c r="F20" s="11">
        <v>7580</v>
      </c>
      <c r="G20" s="11">
        <v>7697</v>
      </c>
      <c r="H20" s="11">
        <v>7649</v>
      </c>
      <c r="I20" s="11">
        <v>7696</v>
      </c>
      <c r="J20" s="11">
        <v>7796</v>
      </c>
      <c r="K20" s="11">
        <v>7886</v>
      </c>
      <c r="L20" s="11">
        <v>7712</v>
      </c>
      <c r="M20" s="11">
        <v>7592</v>
      </c>
      <c r="N20" s="11">
        <f t="shared" si="0"/>
        <v>90220</v>
      </c>
    </row>
    <row r="21" spans="1:14" x14ac:dyDescent="0.25">
      <c r="A21" t="s">
        <v>35</v>
      </c>
      <c r="B21" s="11" t="s">
        <v>22</v>
      </c>
      <c r="C21" s="11" t="s">
        <v>22</v>
      </c>
      <c r="D21" s="11" t="s">
        <v>22</v>
      </c>
      <c r="E21" s="11" t="s">
        <v>22</v>
      </c>
      <c r="F21" s="11" t="s">
        <v>22</v>
      </c>
      <c r="G21" s="11" t="s">
        <v>22</v>
      </c>
      <c r="H21" s="11" t="s">
        <v>22</v>
      </c>
      <c r="I21" s="11" t="s">
        <v>22</v>
      </c>
      <c r="J21" s="11">
        <v>3</v>
      </c>
      <c r="K21" s="11">
        <v>2</v>
      </c>
      <c r="L21" s="11">
        <v>2</v>
      </c>
      <c r="M21" s="11">
        <v>30</v>
      </c>
      <c r="N21" s="11">
        <f t="shared" si="0"/>
        <v>37</v>
      </c>
    </row>
    <row r="22" spans="1:14" x14ac:dyDescent="0.25">
      <c r="A22" t="s">
        <v>36</v>
      </c>
      <c r="B22" s="11">
        <v>4286</v>
      </c>
      <c r="C22" s="11">
        <v>4206</v>
      </c>
      <c r="D22" s="11">
        <v>4047</v>
      </c>
      <c r="E22" s="11">
        <v>4240</v>
      </c>
      <c r="F22" s="11">
        <v>4426</v>
      </c>
      <c r="G22" s="11">
        <v>4494</v>
      </c>
      <c r="H22" s="11">
        <v>4533</v>
      </c>
      <c r="I22" s="11">
        <v>4640</v>
      </c>
      <c r="J22" s="11">
        <v>4771</v>
      </c>
      <c r="K22" s="11">
        <v>4914</v>
      </c>
      <c r="L22" s="11">
        <v>5010</v>
      </c>
      <c r="M22" s="11">
        <v>5058</v>
      </c>
      <c r="N22" s="11">
        <f t="shared" si="0"/>
        <v>54625</v>
      </c>
    </row>
    <row r="23" spans="1:14" x14ac:dyDescent="0.25">
      <c r="A23" t="s">
        <v>37</v>
      </c>
      <c r="B23" s="11">
        <v>28215</v>
      </c>
      <c r="C23" s="11">
        <v>28949</v>
      </c>
      <c r="D23" s="11">
        <v>29123</v>
      </c>
      <c r="E23" s="11">
        <v>28601</v>
      </c>
      <c r="F23" s="11">
        <v>28210</v>
      </c>
      <c r="G23" s="11">
        <v>27010</v>
      </c>
      <c r="H23" s="11">
        <v>26393</v>
      </c>
      <c r="I23" s="11">
        <v>25972</v>
      </c>
      <c r="J23" s="11">
        <v>25610</v>
      </c>
      <c r="K23" s="11">
        <v>26059</v>
      </c>
      <c r="L23" s="11">
        <v>26350</v>
      </c>
      <c r="M23" s="11">
        <v>26446</v>
      </c>
      <c r="N23" s="11">
        <f t="shared" si="0"/>
        <v>326938</v>
      </c>
    </row>
    <row r="24" spans="1:14" x14ac:dyDescent="0.25">
      <c r="A24" t="s">
        <v>38</v>
      </c>
      <c r="B24" s="11">
        <v>102</v>
      </c>
      <c r="C24" s="11">
        <v>128</v>
      </c>
      <c r="D24" s="11">
        <v>145</v>
      </c>
      <c r="E24" s="11">
        <v>160</v>
      </c>
      <c r="F24" s="11">
        <v>173</v>
      </c>
      <c r="G24" s="11">
        <v>188</v>
      </c>
      <c r="H24" s="11">
        <v>191</v>
      </c>
      <c r="I24" s="11">
        <v>197</v>
      </c>
      <c r="J24" s="11">
        <v>204</v>
      </c>
      <c r="K24" s="11">
        <v>204</v>
      </c>
      <c r="L24" s="11">
        <v>218</v>
      </c>
      <c r="M24" s="11">
        <v>237</v>
      </c>
      <c r="N24" s="11">
        <f t="shared" si="0"/>
        <v>2147</v>
      </c>
    </row>
    <row r="25" spans="1:14" x14ac:dyDescent="0.25">
      <c r="A25" t="s">
        <v>39</v>
      </c>
      <c r="B25" s="11">
        <v>100</v>
      </c>
      <c r="C25" s="11">
        <v>116</v>
      </c>
      <c r="D25" s="11">
        <v>108</v>
      </c>
      <c r="E25" s="11">
        <v>109</v>
      </c>
      <c r="F25" s="11">
        <v>102</v>
      </c>
      <c r="G25" s="11">
        <v>120</v>
      </c>
      <c r="H25" s="11">
        <v>133</v>
      </c>
      <c r="I25" s="11">
        <v>148</v>
      </c>
      <c r="J25" s="11">
        <v>158</v>
      </c>
      <c r="K25" s="11">
        <v>163</v>
      </c>
      <c r="L25" s="11">
        <v>186</v>
      </c>
      <c r="M25" s="11">
        <v>192</v>
      </c>
      <c r="N25" s="11">
        <f t="shared" si="0"/>
        <v>1635</v>
      </c>
    </row>
    <row r="26" spans="1:14" x14ac:dyDescent="0.25">
      <c r="A26" t="s">
        <v>40</v>
      </c>
      <c r="B26" s="11" t="s">
        <v>11</v>
      </c>
      <c r="C26" s="11" t="s">
        <v>11</v>
      </c>
      <c r="D26" s="11" t="s">
        <v>11</v>
      </c>
      <c r="E26" s="11" t="s">
        <v>11</v>
      </c>
      <c r="F26" s="11" t="s">
        <v>11</v>
      </c>
      <c r="G26" s="11" t="s">
        <v>11</v>
      </c>
      <c r="H26" s="11" t="s">
        <v>11</v>
      </c>
      <c r="I26" s="11" t="s">
        <v>11</v>
      </c>
      <c r="J26" s="11">
        <v>215</v>
      </c>
      <c r="K26" s="11">
        <v>206</v>
      </c>
      <c r="L26" s="11">
        <v>208</v>
      </c>
      <c r="M26" s="11">
        <v>206</v>
      </c>
      <c r="N26" s="11">
        <f t="shared" si="0"/>
        <v>835</v>
      </c>
    </row>
    <row r="27" spans="1:14" x14ac:dyDescent="0.25">
      <c r="A27" t="s">
        <v>41</v>
      </c>
      <c r="B27" s="11">
        <v>86</v>
      </c>
      <c r="C27" s="11">
        <v>106</v>
      </c>
      <c r="D27" s="11">
        <v>134</v>
      </c>
      <c r="E27" s="11">
        <v>197</v>
      </c>
      <c r="F27" s="11">
        <v>185</v>
      </c>
      <c r="G27" s="11">
        <v>192</v>
      </c>
      <c r="H27" s="11">
        <v>186</v>
      </c>
      <c r="I27" s="11">
        <v>187</v>
      </c>
      <c r="J27" s="11">
        <v>190</v>
      </c>
      <c r="K27" s="11">
        <v>192</v>
      </c>
      <c r="L27" s="11">
        <v>191</v>
      </c>
      <c r="M27" s="11">
        <v>193</v>
      </c>
      <c r="N27" s="11">
        <f t="shared" si="0"/>
        <v>2039</v>
      </c>
    </row>
    <row r="28" spans="1:14" x14ac:dyDescent="0.25">
      <c r="A28" t="s">
        <v>42</v>
      </c>
      <c r="B28" s="11">
        <v>2678</v>
      </c>
      <c r="C28" s="11">
        <v>2854</v>
      </c>
      <c r="D28" s="11">
        <v>2714</v>
      </c>
      <c r="E28" s="11">
        <v>2803</v>
      </c>
      <c r="F28" s="11">
        <v>2948</v>
      </c>
      <c r="G28" s="11">
        <v>3051</v>
      </c>
      <c r="H28" s="11">
        <v>3066</v>
      </c>
      <c r="I28" s="11">
        <v>3063</v>
      </c>
      <c r="J28" s="11">
        <v>3079</v>
      </c>
      <c r="K28" s="11">
        <v>3246</v>
      </c>
      <c r="L28" s="11">
        <v>3204</v>
      </c>
      <c r="M28" s="11">
        <v>3244</v>
      </c>
      <c r="N28" s="11">
        <f t="shared" si="0"/>
        <v>35950</v>
      </c>
    </row>
    <row r="29" spans="1:14" x14ac:dyDescent="0.25">
      <c r="A29" t="s">
        <v>43</v>
      </c>
      <c r="B29" s="11">
        <v>832</v>
      </c>
      <c r="C29" s="11">
        <v>911</v>
      </c>
      <c r="D29" s="11">
        <v>857</v>
      </c>
      <c r="E29" s="11">
        <v>716</v>
      </c>
      <c r="F29" s="11">
        <v>682</v>
      </c>
      <c r="G29" s="11">
        <v>665</v>
      </c>
      <c r="H29" s="11">
        <v>681</v>
      </c>
      <c r="I29" s="11">
        <v>703</v>
      </c>
      <c r="J29" s="11">
        <v>727</v>
      </c>
      <c r="K29" s="11">
        <v>776</v>
      </c>
      <c r="L29" s="11">
        <v>760</v>
      </c>
      <c r="M29" s="11">
        <v>765</v>
      </c>
      <c r="N29" s="11">
        <f t="shared" si="0"/>
        <v>9075</v>
      </c>
    </row>
    <row r="30" spans="1:14" x14ac:dyDescent="0.25">
      <c r="A30" t="s">
        <v>44</v>
      </c>
      <c r="B30" s="11">
        <v>12593</v>
      </c>
      <c r="C30" s="11">
        <v>12427</v>
      </c>
      <c r="D30" s="11">
        <v>12278</v>
      </c>
      <c r="E30" s="11">
        <v>12413</v>
      </c>
      <c r="F30" s="11">
        <v>12521</v>
      </c>
      <c r="G30" s="11">
        <v>12489</v>
      </c>
      <c r="H30" s="11">
        <v>12726</v>
      </c>
      <c r="I30" s="11">
        <v>12825</v>
      </c>
      <c r="J30" s="11">
        <v>13092</v>
      </c>
      <c r="K30" s="11">
        <v>13089</v>
      </c>
      <c r="L30" s="11">
        <v>13131</v>
      </c>
      <c r="M30" s="11">
        <v>13228</v>
      </c>
      <c r="N30" s="11">
        <f t="shared" si="0"/>
        <v>152812</v>
      </c>
    </row>
    <row r="31" spans="1:14" x14ac:dyDescent="0.25">
      <c r="A31" t="s">
        <v>45</v>
      </c>
      <c r="B31" s="11">
        <v>8444</v>
      </c>
      <c r="C31" s="11">
        <v>8782</v>
      </c>
      <c r="D31" s="11">
        <v>8820</v>
      </c>
      <c r="E31" s="11">
        <v>8986</v>
      </c>
      <c r="F31" s="11">
        <v>9049</v>
      </c>
      <c r="G31" s="11">
        <v>9026</v>
      </c>
      <c r="H31" s="11">
        <v>9212</v>
      </c>
      <c r="I31" s="11">
        <v>9424</v>
      </c>
      <c r="J31" s="11">
        <v>9694</v>
      </c>
      <c r="K31" s="11">
        <v>9886</v>
      </c>
      <c r="L31" s="11">
        <v>10237</v>
      </c>
      <c r="M31" s="11">
        <v>10528</v>
      </c>
      <c r="N31" s="11">
        <f t="shared" si="0"/>
        <v>112088</v>
      </c>
    </row>
    <row r="32" spans="1:14" x14ac:dyDescent="0.25">
      <c r="A32" t="s">
        <v>46</v>
      </c>
      <c r="B32" s="11">
        <v>61</v>
      </c>
      <c r="C32" s="11">
        <v>65</v>
      </c>
      <c r="D32" s="11">
        <v>66</v>
      </c>
      <c r="E32" s="11">
        <v>67</v>
      </c>
      <c r="F32" s="11">
        <v>68</v>
      </c>
      <c r="G32" s="11">
        <v>71</v>
      </c>
      <c r="H32" s="11">
        <v>82</v>
      </c>
      <c r="I32" s="11">
        <v>84</v>
      </c>
      <c r="J32" s="11">
        <v>84</v>
      </c>
      <c r="K32" s="11">
        <v>84</v>
      </c>
      <c r="L32" s="11">
        <v>84</v>
      </c>
      <c r="M32" s="11">
        <v>90</v>
      </c>
      <c r="N32" s="11">
        <f t="shared" si="0"/>
        <v>906</v>
      </c>
    </row>
    <row r="33" spans="1:14" x14ac:dyDescent="0.25">
      <c r="A33" t="s">
        <v>47</v>
      </c>
      <c r="B33" s="11">
        <v>36996</v>
      </c>
      <c r="C33" s="11">
        <v>36869</v>
      </c>
      <c r="D33" s="11">
        <v>37378</v>
      </c>
      <c r="E33" s="11">
        <v>37878</v>
      </c>
      <c r="F33" s="11">
        <v>37331</v>
      </c>
      <c r="G33" s="11">
        <v>37220</v>
      </c>
      <c r="H33" s="11">
        <v>37787</v>
      </c>
      <c r="I33" s="11">
        <v>38131</v>
      </c>
      <c r="J33" s="11">
        <v>38837</v>
      </c>
      <c r="K33" s="11">
        <v>39393</v>
      </c>
      <c r="L33" s="11">
        <v>39512</v>
      </c>
      <c r="M33" s="11">
        <v>39666</v>
      </c>
      <c r="N33" s="11">
        <f t="shared" si="0"/>
        <v>456998</v>
      </c>
    </row>
    <row r="34" spans="1:14" x14ac:dyDescent="0.25">
      <c r="A34" t="s">
        <v>48</v>
      </c>
      <c r="B34" s="11" t="s">
        <v>22</v>
      </c>
      <c r="C34" s="11">
        <v>13656</v>
      </c>
      <c r="D34" s="11">
        <v>14110</v>
      </c>
      <c r="E34" s="11">
        <v>14427</v>
      </c>
      <c r="F34" s="11">
        <v>14874</v>
      </c>
      <c r="G34" s="11">
        <v>15028</v>
      </c>
      <c r="H34" s="11">
        <v>15263</v>
      </c>
      <c r="I34" s="11">
        <v>15167</v>
      </c>
      <c r="J34" s="11">
        <v>15271</v>
      </c>
      <c r="K34" s="11">
        <v>15342</v>
      </c>
      <c r="L34" s="11">
        <v>13251</v>
      </c>
      <c r="M34" s="11">
        <v>13063</v>
      </c>
      <c r="N34" s="11">
        <f t="shared" si="0"/>
        <v>159452</v>
      </c>
    </row>
    <row r="35" spans="1:14" x14ac:dyDescent="0.25">
      <c r="A35" t="s">
        <v>49</v>
      </c>
      <c r="B35" s="11">
        <v>446</v>
      </c>
      <c r="C35" s="11">
        <v>534</v>
      </c>
      <c r="D35" s="11">
        <v>552</v>
      </c>
      <c r="E35" s="11">
        <v>548</v>
      </c>
      <c r="F35" s="11">
        <v>558</v>
      </c>
      <c r="G35" s="11">
        <v>585</v>
      </c>
      <c r="H35" s="11">
        <v>607</v>
      </c>
      <c r="I35" s="11">
        <v>621</v>
      </c>
      <c r="J35" s="11">
        <v>657</v>
      </c>
      <c r="K35" s="11">
        <v>680</v>
      </c>
      <c r="L35" s="11">
        <v>682</v>
      </c>
      <c r="M35" s="11">
        <v>699</v>
      </c>
      <c r="N35" s="11">
        <f t="shared" si="0"/>
        <v>7169</v>
      </c>
    </row>
    <row r="36" spans="1:14" x14ac:dyDescent="0.25">
      <c r="A36" t="s">
        <v>50</v>
      </c>
      <c r="B36" s="11">
        <v>14090</v>
      </c>
      <c r="C36" s="11">
        <v>14440</v>
      </c>
      <c r="D36" s="11">
        <v>14463</v>
      </c>
      <c r="E36" s="11">
        <v>14867</v>
      </c>
      <c r="F36" s="11">
        <v>15291</v>
      </c>
      <c r="G36" s="11">
        <v>15294</v>
      </c>
      <c r="H36" s="11">
        <v>15830</v>
      </c>
      <c r="I36" s="11">
        <v>15854</v>
      </c>
      <c r="J36" s="11">
        <v>16184</v>
      </c>
      <c r="K36" s="11">
        <v>16503</v>
      </c>
      <c r="L36" s="11">
        <v>17481</v>
      </c>
      <c r="M36" s="11">
        <v>19102</v>
      </c>
      <c r="N36" s="11">
        <f t="shared" si="0"/>
        <v>189399</v>
      </c>
    </row>
    <row r="37" spans="1:14" x14ac:dyDescent="0.25">
      <c r="A37" t="s">
        <v>61</v>
      </c>
      <c r="B37" s="11">
        <v>2843</v>
      </c>
      <c r="C37" s="11">
        <v>2911</v>
      </c>
      <c r="D37" s="11">
        <v>2936</v>
      </c>
      <c r="E37" s="11">
        <v>2987</v>
      </c>
      <c r="F37" s="11">
        <v>2978</v>
      </c>
      <c r="G37" s="11">
        <v>2987</v>
      </c>
      <c r="H37" s="11">
        <v>2998</v>
      </c>
      <c r="I37" s="11">
        <v>3002</v>
      </c>
      <c r="J37" s="11">
        <v>2969</v>
      </c>
      <c r="K37" s="11">
        <v>2988</v>
      </c>
      <c r="L37" s="11">
        <v>2978</v>
      </c>
      <c r="M37" s="11">
        <v>2870</v>
      </c>
      <c r="N37" s="11">
        <f t="shared" si="0"/>
        <v>35447</v>
      </c>
    </row>
    <row r="38" spans="1:14" x14ac:dyDescent="0.25">
      <c r="A38" t="s">
        <v>51</v>
      </c>
      <c r="B38" s="11">
        <v>8402</v>
      </c>
      <c r="C38" s="11">
        <v>8607</v>
      </c>
      <c r="D38" s="11">
        <v>8859</v>
      </c>
      <c r="E38" s="11">
        <v>9112</v>
      </c>
      <c r="F38" s="11">
        <v>9300</v>
      </c>
      <c r="G38" s="11">
        <v>9587</v>
      </c>
      <c r="H38" s="11">
        <v>9534</v>
      </c>
      <c r="I38" s="11">
        <v>9420</v>
      </c>
      <c r="J38" s="11">
        <v>9650</v>
      </c>
      <c r="K38" s="11">
        <v>9863</v>
      </c>
      <c r="L38" s="11">
        <v>9727</v>
      </c>
      <c r="M38" s="11">
        <v>10237</v>
      </c>
      <c r="N38" s="11">
        <f t="shared" si="0"/>
        <v>112298</v>
      </c>
    </row>
    <row r="39" spans="1:14" s="10" customFormat="1" x14ac:dyDescent="0.25">
      <c r="A39" s="10" t="s">
        <v>52</v>
      </c>
      <c r="B39" s="12">
        <v>217554</v>
      </c>
      <c r="C39" s="12">
        <v>222120</v>
      </c>
      <c r="D39" s="12">
        <v>224576</v>
      </c>
      <c r="E39" s="12">
        <v>230435</v>
      </c>
      <c r="F39" s="12">
        <v>233116</v>
      </c>
      <c r="G39" s="12">
        <v>234865</v>
      </c>
      <c r="H39" s="12">
        <v>237684</v>
      </c>
      <c r="I39" s="12">
        <v>242395</v>
      </c>
      <c r="J39" s="12">
        <v>246504</v>
      </c>
      <c r="K39" s="12">
        <v>250454</v>
      </c>
      <c r="L39" s="12">
        <v>249987</v>
      </c>
      <c r="M39" s="12">
        <v>253334</v>
      </c>
      <c r="N39" s="12">
        <f t="shared" si="0"/>
        <v>2843024</v>
      </c>
    </row>
  </sheetData>
  <mergeCells count="1">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50"/>
  <sheetViews>
    <sheetView workbookViewId="0">
      <selection activeCell="E23" sqref="E23"/>
    </sheetView>
  </sheetViews>
  <sheetFormatPr defaultColWidth="14.85546875" defaultRowHeight="12.75" x14ac:dyDescent="0.2"/>
  <cols>
    <col min="1" max="1" width="3.42578125" style="1" customWidth="1"/>
    <col min="2" max="2" width="34.28515625" style="1" customWidth="1"/>
    <col min="3" max="13" width="13" style="1" customWidth="1"/>
    <col min="14" max="16384" width="14.85546875" style="1"/>
  </cols>
  <sheetData>
    <row r="2" spans="2:11" x14ac:dyDescent="0.2">
      <c r="B2" s="7" t="s">
        <v>67</v>
      </c>
      <c r="C2" s="7"/>
      <c r="D2" s="7"/>
      <c r="E2" s="7"/>
      <c r="F2" s="7"/>
      <c r="G2" s="7"/>
      <c r="H2" s="7"/>
      <c r="I2" s="7"/>
      <c r="J2" s="7"/>
      <c r="K2" s="7"/>
    </row>
    <row r="3" spans="2:11" x14ac:dyDescent="0.2">
      <c r="B3" s="6" t="s">
        <v>0</v>
      </c>
      <c r="C3" s="6"/>
      <c r="D3" s="6"/>
      <c r="E3" s="6"/>
      <c r="F3" s="6"/>
      <c r="G3" s="6"/>
      <c r="H3" s="6"/>
      <c r="I3" s="6"/>
      <c r="J3" s="6"/>
      <c r="K3" s="6"/>
    </row>
    <row r="4" spans="2:11" ht="38.25" x14ac:dyDescent="0.2">
      <c r="B4" s="5" t="s">
        <v>1</v>
      </c>
      <c r="C4" s="5" t="s">
        <v>2</v>
      </c>
      <c r="D4" s="5" t="s">
        <v>3</v>
      </c>
      <c r="E4" s="5" t="s">
        <v>4</v>
      </c>
      <c r="F4" s="5" t="s">
        <v>5</v>
      </c>
      <c r="G4" s="5" t="s">
        <v>6</v>
      </c>
      <c r="H4" s="5" t="s">
        <v>7</v>
      </c>
      <c r="I4" s="5" t="s">
        <v>8</v>
      </c>
      <c r="J4" s="5" t="s">
        <v>9</v>
      </c>
      <c r="K4" s="5" t="s">
        <v>10</v>
      </c>
    </row>
    <row r="5" spans="2:11" x14ac:dyDescent="0.2">
      <c r="B5" s="2" t="s">
        <v>12</v>
      </c>
      <c r="C5" s="3">
        <v>18</v>
      </c>
      <c r="D5" s="4">
        <v>27708</v>
      </c>
      <c r="E5" s="3" t="s">
        <v>11</v>
      </c>
      <c r="F5" s="4">
        <v>3019</v>
      </c>
      <c r="G5" s="4">
        <v>3231</v>
      </c>
      <c r="H5" s="3">
        <v>308</v>
      </c>
      <c r="I5" s="4">
        <v>2472</v>
      </c>
      <c r="J5" s="4">
        <v>1480</v>
      </c>
      <c r="K5" s="4">
        <v>1950</v>
      </c>
    </row>
    <row r="6" spans="2:11" x14ac:dyDescent="0.2">
      <c r="B6" s="2" t="s">
        <v>13</v>
      </c>
      <c r="C6" s="3">
        <v>24</v>
      </c>
      <c r="D6" s="4">
        <v>15358</v>
      </c>
      <c r="E6" s="3" t="s">
        <v>11</v>
      </c>
      <c r="F6" s="4">
        <v>3303</v>
      </c>
      <c r="G6" s="4">
        <v>3345</v>
      </c>
      <c r="H6" s="3">
        <v>297</v>
      </c>
      <c r="I6" s="4">
        <v>2441</v>
      </c>
      <c r="J6" s="4">
        <v>1413</v>
      </c>
      <c r="K6" s="4">
        <v>1885</v>
      </c>
    </row>
    <row r="7" spans="2:11" x14ac:dyDescent="0.2">
      <c r="B7" s="2" t="s">
        <v>14</v>
      </c>
      <c r="C7" s="3">
        <v>20</v>
      </c>
      <c r="D7" s="4">
        <v>15719</v>
      </c>
      <c r="E7" s="3" t="s">
        <v>11</v>
      </c>
      <c r="F7" s="4">
        <v>3518</v>
      </c>
      <c r="G7" s="4">
        <v>3419</v>
      </c>
      <c r="H7" s="3">
        <v>285</v>
      </c>
      <c r="I7" s="4">
        <v>2534</v>
      </c>
      <c r="J7" s="4">
        <v>1405</v>
      </c>
      <c r="K7" s="4">
        <v>1881</v>
      </c>
    </row>
    <row r="8" spans="2:11" x14ac:dyDescent="0.2">
      <c r="B8" s="2" t="s">
        <v>15</v>
      </c>
      <c r="C8" s="3">
        <v>20</v>
      </c>
      <c r="D8" s="4">
        <v>16012</v>
      </c>
      <c r="E8" s="3">
        <v>124</v>
      </c>
      <c r="F8" s="4">
        <v>3717</v>
      </c>
      <c r="G8" s="4">
        <v>3529</v>
      </c>
      <c r="H8" s="3">
        <v>276</v>
      </c>
      <c r="I8" s="4">
        <v>2809</v>
      </c>
      <c r="J8" s="4">
        <v>1411</v>
      </c>
      <c r="K8" s="4">
        <v>1874</v>
      </c>
    </row>
    <row r="9" spans="2:11" x14ac:dyDescent="0.2">
      <c r="B9" s="2" t="s">
        <v>16</v>
      </c>
      <c r="C9" s="3">
        <v>19</v>
      </c>
      <c r="D9" s="4">
        <v>16340</v>
      </c>
      <c r="E9" s="3">
        <v>120</v>
      </c>
      <c r="F9" s="4">
        <v>3890</v>
      </c>
      <c r="G9" s="4">
        <v>3623</v>
      </c>
      <c r="H9" s="3">
        <v>262</v>
      </c>
      <c r="I9" s="4">
        <v>3037</v>
      </c>
      <c r="J9" s="4">
        <v>1392</v>
      </c>
      <c r="K9" s="4">
        <v>1832</v>
      </c>
    </row>
    <row r="10" spans="2:11" x14ac:dyDescent="0.2">
      <c r="B10" s="2" t="s">
        <v>17</v>
      </c>
      <c r="C10" s="3">
        <v>18</v>
      </c>
      <c r="D10" s="4">
        <v>16246</v>
      </c>
      <c r="E10" s="3">
        <v>125</v>
      </c>
      <c r="F10" s="4">
        <v>4154</v>
      </c>
      <c r="G10" s="4">
        <v>3531</v>
      </c>
      <c r="H10" s="3">
        <v>248</v>
      </c>
      <c r="I10" s="4">
        <v>3109</v>
      </c>
      <c r="J10" s="4">
        <v>1369</v>
      </c>
      <c r="K10" s="4">
        <v>1799</v>
      </c>
    </row>
    <row r="11" spans="2:11" x14ac:dyDescent="0.2">
      <c r="B11" s="2" t="s">
        <v>18</v>
      </c>
      <c r="C11" s="3">
        <v>18</v>
      </c>
      <c r="D11" s="4">
        <v>16296</v>
      </c>
      <c r="E11" s="3">
        <v>117</v>
      </c>
      <c r="F11" s="4">
        <v>4538</v>
      </c>
      <c r="G11" s="4">
        <v>3461</v>
      </c>
      <c r="H11" s="3">
        <v>233</v>
      </c>
      <c r="I11" s="4">
        <v>3352</v>
      </c>
      <c r="J11" s="4">
        <v>1355</v>
      </c>
      <c r="K11" s="4">
        <v>1745</v>
      </c>
    </row>
    <row r="12" spans="2:11" x14ac:dyDescent="0.2">
      <c r="B12" s="2" t="s">
        <v>19</v>
      </c>
      <c r="C12" s="3">
        <v>14</v>
      </c>
      <c r="D12" s="4">
        <v>16739</v>
      </c>
      <c r="E12" s="3">
        <v>115</v>
      </c>
      <c r="F12" s="4">
        <v>5020</v>
      </c>
      <c r="G12" s="4">
        <v>3422</v>
      </c>
      <c r="H12" s="3">
        <v>233</v>
      </c>
      <c r="I12" s="4">
        <v>3576</v>
      </c>
      <c r="J12" s="4">
        <v>1335</v>
      </c>
      <c r="K12" s="4">
        <v>1709</v>
      </c>
    </row>
    <row r="13" spans="2:11" x14ac:dyDescent="0.2">
      <c r="B13" s="2" t="s">
        <v>20</v>
      </c>
      <c r="C13" s="3">
        <v>15</v>
      </c>
      <c r="D13" s="4">
        <v>16924</v>
      </c>
      <c r="E13" s="3">
        <v>116</v>
      </c>
      <c r="F13" s="4">
        <v>5196</v>
      </c>
      <c r="G13" s="4">
        <v>3429</v>
      </c>
      <c r="H13" s="3">
        <v>250</v>
      </c>
      <c r="I13" s="4">
        <v>3892</v>
      </c>
      <c r="J13" s="4">
        <v>1355</v>
      </c>
      <c r="K13" s="4">
        <v>1682</v>
      </c>
    </row>
    <row r="14" spans="2:11" x14ac:dyDescent="0.2">
      <c r="B14" s="2" t="s">
        <v>21</v>
      </c>
      <c r="C14" s="3">
        <v>13</v>
      </c>
      <c r="D14" s="4">
        <v>16937</v>
      </c>
      <c r="E14" s="3">
        <v>109</v>
      </c>
      <c r="F14" s="4">
        <v>5354</v>
      </c>
      <c r="G14" s="4">
        <v>3367</v>
      </c>
      <c r="H14" s="3">
        <v>248</v>
      </c>
      <c r="I14" s="4">
        <v>4143</v>
      </c>
      <c r="J14" s="4">
        <v>2995</v>
      </c>
      <c r="K14" s="3" t="s">
        <v>22</v>
      </c>
    </row>
    <row r="15" spans="2:11" x14ac:dyDescent="0.2">
      <c r="B15" s="2" t="s">
        <v>23</v>
      </c>
      <c r="C15" s="3">
        <v>13</v>
      </c>
      <c r="D15" s="4">
        <v>16925</v>
      </c>
      <c r="E15" s="3">
        <v>211</v>
      </c>
      <c r="F15" s="4">
        <v>5480</v>
      </c>
      <c r="G15" s="4">
        <v>3289</v>
      </c>
      <c r="H15" s="3">
        <v>241</v>
      </c>
      <c r="I15" s="4">
        <v>4397</v>
      </c>
      <c r="J15" s="4">
        <v>2891</v>
      </c>
      <c r="K15" s="3" t="s">
        <v>22</v>
      </c>
    </row>
    <row r="16" spans="2:11" x14ac:dyDescent="0.2">
      <c r="B16" s="2" t="s">
        <v>24</v>
      </c>
      <c r="C16" s="3">
        <v>14</v>
      </c>
      <c r="D16" s="4">
        <v>16483</v>
      </c>
      <c r="E16" s="3">
        <v>198</v>
      </c>
      <c r="F16" s="4">
        <v>5712</v>
      </c>
      <c r="G16" s="4">
        <v>3307</v>
      </c>
      <c r="H16" s="3">
        <v>229</v>
      </c>
      <c r="I16" s="4">
        <v>4717</v>
      </c>
      <c r="J16" s="4">
        <v>2783</v>
      </c>
      <c r="K16" s="3" t="s">
        <v>22</v>
      </c>
    </row>
    <row r="18" spans="2:10" ht="25.5" x14ac:dyDescent="0.2">
      <c r="B18" s="5" t="s">
        <v>1</v>
      </c>
      <c r="C18" s="5" t="s">
        <v>25</v>
      </c>
      <c r="D18" s="5" t="s">
        <v>26</v>
      </c>
      <c r="E18" s="5" t="s">
        <v>27</v>
      </c>
      <c r="F18" s="5" t="s">
        <v>28</v>
      </c>
      <c r="G18" s="5" t="s">
        <v>29</v>
      </c>
      <c r="H18" s="5" t="s">
        <v>30</v>
      </c>
      <c r="I18" s="5" t="s">
        <v>31</v>
      </c>
      <c r="J18" s="5" t="s">
        <v>32</v>
      </c>
    </row>
    <row r="19" spans="2:10" x14ac:dyDescent="0.2">
      <c r="B19" s="2" t="s">
        <v>12</v>
      </c>
      <c r="C19" s="4">
        <v>3849</v>
      </c>
      <c r="D19" s="3">
        <v>586</v>
      </c>
      <c r="E19" s="4">
        <v>22220</v>
      </c>
      <c r="F19" s="4">
        <v>6142</v>
      </c>
      <c r="G19" s="4">
        <v>2489</v>
      </c>
      <c r="H19" s="3">
        <v>861</v>
      </c>
      <c r="I19" s="4">
        <v>2556</v>
      </c>
      <c r="J19" s="4">
        <v>11460</v>
      </c>
    </row>
    <row r="20" spans="2:10" x14ac:dyDescent="0.2">
      <c r="B20" s="2" t="s">
        <v>13</v>
      </c>
      <c r="C20" s="4">
        <v>3958</v>
      </c>
      <c r="D20" s="3">
        <v>597</v>
      </c>
      <c r="E20" s="4">
        <v>22587</v>
      </c>
      <c r="F20" s="4">
        <v>6163</v>
      </c>
      <c r="G20" s="4">
        <v>2654</v>
      </c>
      <c r="H20" s="3">
        <v>955</v>
      </c>
      <c r="I20" s="4">
        <v>2697</v>
      </c>
      <c r="J20" s="4">
        <v>11753</v>
      </c>
    </row>
    <row r="21" spans="2:10" x14ac:dyDescent="0.2">
      <c r="B21" s="2" t="s">
        <v>14</v>
      </c>
      <c r="C21" s="4">
        <v>3918</v>
      </c>
      <c r="D21" s="3">
        <v>618</v>
      </c>
      <c r="E21" s="4">
        <v>22876</v>
      </c>
      <c r="F21" s="4">
        <v>6117</v>
      </c>
      <c r="G21" s="4">
        <v>2806</v>
      </c>
      <c r="H21" s="3">
        <v>943</v>
      </c>
      <c r="I21" s="4">
        <v>2688</v>
      </c>
      <c r="J21" s="4">
        <v>12107</v>
      </c>
    </row>
    <row r="22" spans="2:10" x14ac:dyDescent="0.2">
      <c r="B22" s="2" t="s">
        <v>15</v>
      </c>
      <c r="C22" s="4">
        <v>3868</v>
      </c>
      <c r="D22" s="3">
        <v>635</v>
      </c>
      <c r="E22" s="4">
        <v>23433</v>
      </c>
      <c r="F22" s="4">
        <v>8243</v>
      </c>
      <c r="G22" s="4">
        <v>2784</v>
      </c>
      <c r="H22" s="3">
        <v>965</v>
      </c>
      <c r="I22" s="4">
        <v>2738</v>
      </c>
      <c r="J22" s="4">
        <v>12566</v>
      </c>
    </row>
    <row r="23" spans="2:10" x14ac:dyDescent="0.2">
      <c r="B23" s="2" t="s">
        <v>16</v>
      </c>
      <c r="C23" s="4">
        <v>3776</v>
      </c>
      <c r="D23" s="3">
        <v>654</v>
      </c>
      <c r="E23" s="4">
        <v>24426</v>
      </c>
      <c r="F23" s="4">
        <v>7953</v>
      </c>
      <c r="G23" s="4">
        <v>2767</v>
      </c>
      <c r="H23" s="3">
        <v>945</v>
      </c>
      <c r="I23" s="4">
        <v>2831</v>
      </c>
      <c r="J23" s="4">
        <v>12973</v>
      </c>
    </row>
    <row r="24" spans="2:10" x14ac:dyDescent="0.2">
      <c r="B24" s="2" t="s">
        <v>17</v>
      </c>
      <c r="C24" s="4">
        <v>3507</v>
      </c>
      <c r="D24" s="3">
        <v>647</v>
      </c>
      <c r="E24" s="4">
        <v>25966</v>
      </c>
      <c r="F24" s="4">
        <v>8503</v>
      </c>
      <c r="G24" s="4">
        <v>2721</v>
      </c>
      <c r="H24" s="4">
        <v>1016</v>
      </c>
      <c r="I24" s="4">
        <v>2858</v>
      </c>
      <c r="J24" s="4">
        <v>13344</v>
      </c>
    </row>
    <row r="25" spans="2:10" x14ac:dyDescent="0.2">
      <c r="B25" s="2" t="s">
        <v>18</v>
      </c>
      <c r="C25" s="4">
        <v>3432</v>
      </c>
      <c r="D25" s="3">
        <v>715</v>
      </c>
      <c r="E25" s="4">
        <v>26586</v>
      </c>
      <c r="F25" s="4">
        <v>8891</v>
      </c>
      <c r="G25" s="4">
        <v>2671</v>
      </c>
      <c r="H25" s="4">
        <v>1019</v>
      </c>
      <c r="I25" s="4">
        <v>2866</v>
      </c>
      <c r="J25" s="4">
        <v>13518</v>
      </c>
    </row>
    <row r="26" spans="2:10" x14ac:dyDescent="0.2">
      <c r="B26" s="2" t="s">
        <v>19</v>
      </c>
      <c r="C26" s="4">
        <v>3376</v>
      </c>
      <c r="D26" s="3">
        <v>708</v>
      </c>
      <c r="E26" s="4">
        <v>26842</v>
      </c>
      <c r="F26" s="4">
        <v>11835</v>
      </c>
      <c r="G26" s="4">
        <v>2691</v>
      </c>
      <c r="H26" s="4">
        <v>1000</v>
      </c>
      <c r="I26" s="4">
        <v>2857</v>
      </c>
      <c r="J26" s="4">
        <v>13789</v>
      </c>
    </row>
    <row r="27" spans="2:10" x14ac:dyDescent="0.2">
      <c r="B27" s="2" t="s">
        <v>20</v>
      </c>
      <c r="C27" s="4">
        <v>3259</v>
      </c>
      <c r="D27" s="3">
        <v>711</v>
      </c>
      <c r="E27" s="4">
        <v>28479</v>
      </c>
      <c r="F27" s="4">
        <v>11252</v>
      </c>
      <c r="G27" s="4">
        <v>2687</v>
      </c>
      <c r="H27" s="4">
        <v>1022</v>
      </c>
      <c r="I27" s="4">
        <v>2875</v>
      </c>
      <c r="J27" s="4">
        <v>14169</v>
      </c>
    </row>
    <row r="28" spans="2:10" x14ac:dyDescent="0.2">
      <c r="B28" s="2" t="s">
        <v>21</v>
      </c>
      <c r="C28" s="4">
        <v>3174</v>
      </c>
      <c r="D28" s="3">
        <v>720</v>
      </c>
      <c r="E28" s="4">
        <v>29497</v>
      </c>
      <c r="F28" s="4">
        <v>11638</v>
      </c>
      <c r="G28" s="4">
        <v>2677</v>
      </c>
      <c r="H28" s="4">
        <v>1009</v>
      </c>
      <c r="I28" s="4">
        <v>2862</v>
      </c>
      <c r="J28" s="4">
        <v>14235</v>
      </c>
    </row>
    <row r="29" spans="2:10" x14ac:dyDescent="0.2">
      <c r="B29" s="2" t="s">
        <v>23</v>
      </c>
      <c r="C29" s="4">
        <v>3007</v>
      </c>
      <c r="D29" s="3">
        <v>695</v>
      </c>
      <c r="E29" s="4">
        <v>29766</v>
      </c>
      <c r="F29" s="4">
        <v>11294</v>
      </c>
      <c r="G29" s="4">
        <v>2665</v>
      </c>
      <c r="H29" s="4">
        <v>1009</v>
      </c>
      <c r="I29" s="4">
        <v>2879</v>
      </c>
      <c r="J29" s="4">
        <v>14302</v>
      </c>
    </row>
    <row r="30" spans="2:10" x14ac:dyDescent="0.2">
      <c r="B30" s="2" t="s">
        <v>24</v>
      </c>
      <c r="C30" s="4">
        <v>3063</v>
      </c>
      <c r="D30" s="3">
        <v>694</v>
      </c>
      <c r="E30" s="4">
        <v>31031</v>
      </c>
      <c r="F30" s="4">
        <v>10603</v>
      </c>
      <c r="G30" s="4">
        <v>2632</v>
      </c>
      <c r="H30" s="4">
        <v>1015</v>
      </c>
      <c r="I30" s="4">
        <v>2897</v>
      </c>
      <c r="J30" s="4">
        <v>14510</v>
      </c>
    </row>
    <row r="33" spans="2:14" x14ac:dyDescent="0.2">
      <c r="B33" s="5"/>
      <c r="C33" s="2" t="s">
        <v>12</v>
      </c>
      <c r="D33" s="2" t="s">
        <v>13</v>
      </c>
      <c r="E33" s="2" t="s">
        <v>14</v>
      </c>
      <c r="F33" s="2" t="s">
        <v>15</v>
      </c>
      <c r="G33" s="2" t="s">
        <v>16</v>
      </c>
      <c r="H33" s="2" t="s">
        <v>17</v>
      </c>
      <c r="I33" s="2" t="s">
        <v>18</v>
      </c>
      <c r="J33" s="2" t="s">
        <v>19</v>
      </c>
      <c r="K33" s="2" t="s">
        <v>20</v>
      </c>
      <c r="L33" s="2" t="s">
        <v>21</v>
      </c>
      <c r="M33" s="2" t="s">
        <v>23</v>
      </c>
      <c r="N33" s="2" t="s">
        <v>24</v>
      </c>
    </row>
    <row r="34" spans="2:14" x14ac:dyDescent="0.2">
      <c r="B34" s="5" t="s">
        <v>2</v>
      </c>
      <c r="C34" s="3">
        <v>18</v>
      </c>
      <c r="D34" s="3">
        <v>24</v>
      </c>
      <c r="E34" s="3">
        <v>20</v>
      </c>
      <c r="F34" s="3">
        <v>20</v>
      </c>
      <c r="G34" s="3">
        <v>19</v>
      </c>
      <c r="H34" s="3">
        <v>18</v>
      </c>
      <c r="I34" s="3">
        <v>18</v>
      </c>
      <c r="J34" s="3">
        <v>14</v>
      </c>
      <c r="K34" s="3">
        <v>15</v>
      </c>
      <c r="L34" s="3">
        <v>13</v>
      </c>
      <c r="M34" s="3">
        <v>13</v>
      </c>
      <c r="N34" s="3">
        <v>14</v>
      </c>
    </row>
    <row r="35" spans="2:14" x14ac:dyDescent="0.2">
      <c r="B35" s="5" t="s">
        <v>3</v>
      </c>
      <c r="C35" s="4">
        <v>27708</v>
      </c>
      <c r="D35" s="4">
        <v>15358</v>
      </c>
      <c r="E35" s="4">
        <v>15719</v>
      </c>
      <c r="F35" s="4">
        <v>16012</v>
      </c>
      <c r="G35" s="4">
        <v>16340</v>
      </c>
      <c r="H35" s="4">
        <v>16246</v>
      </c>
      <c r="I35" s="4">
        <v>16296</v>
      </c>
      <c r="J35" s="4">
        <v>16739</v>
      </c>
      <c r="K35" s="4">
        <v>16924</v>
      </c>
      <c r="L35" s="4">
        <v>16937</v>
      </c>
      <c r="M35" s="4">
        <v>16925</v>
      </c>
      <c r="N35" s="4">
        <v>16483</v>
      </c>
    </row>
    <row r="36" spans="2:14" x14ac:dyDescent="0.2">
      <c r="B36" s="5" t="s">
        <v>4</v>
      </c>
      <c r="C36" s="3" t="s">
        <v>11</v>
      </c>
      <c r="D36" s="3" t="s">
        <v>11</v>
      </c>
      <c r="E36" s="3" t="s">
        <v>11</v>
      </c>
      <c r="F36" s="3">
        <v>124</v>
      </c>
      <c r="G36" s="3">
        <v>120</v>
      </c>
      <c r="H36" s="3">
        <v>125</v>
      </c>
      <c r="I36" s="3">
        <v>117</v>
      </c>
      <c r="J36" s="3">
        <v>115</v>
      </c>
      <c r="K36" s="3">
        <v>116</v>
      </c>
      <c r="L36" s="3">
        <v>109</v>
      </c>
      <c r="M36" s="3">
        <v>211</v>
      </c>
      <c r="N36" s="3">
        <v>198</v>
      </c>
    </row>
    <row r="37" spans="2:14" x14ac:dyDescent="0.2">
      <c r="B37" s="5" t="s">
        <v>5</v>
      </c>
      <c r="C37" s="4">
        <v>3019</v>
      </c>
      <c r="D37" s="4">
        <v>3303</v>
      </c>
      <c r="E37" s="4">
        <v>3518</v>
      </c>
      <c r="F37" s="4">
        <v>3717</v>
      </c>
      <c r="G37" s="4">
        <v>3890</v>
      </c>
      <c r="H37" s="4">
        <v>4154</v>
      </c>
      <c r="I37" s="4">
        <v>4538</v>
      </c>
      <c r="J37" s="4">
        <v>5020</v>
      </c>
      <c r="K37" s="4">
        <v>5196</v>
      </c>
      <c r="L37" s="4">
        <v>5354</v>
      </c>
      <c r="M37" s="4">
        <v>5480</v>
      </c>
      <c r="N37" s="4">
        <v>5712</v>
      </c>
    </row>
    <row r="38" spans="2:14" x14ac:dyDescent="0.2">
      <c r="B38" s="5" t="s">
        <v>6</v>
      </c>
      <c r="C38" s="4">
        <v>3231</v>
      </c>
      <c r="D38" s="4">
        <v>3345</v>
      </c>
      <c r="E38" s="4">
        <v>3419</v>
      </c>
      <c r="F38" s="4">
        <v>3529</v>
      </c>
      <c r="G38" s="4">
        <v>3623</v>
      </c>
      <c r="H38" s="4">
        <v>3531</v>
      </c>
      <c r="I38" s="4">
        <v>3461</v>
      </c>
      <c r="J38" s="4">
        <v>3422</v>
      </c>
      <c r="K38" s="4">
        <v>3429</v>
      </c>
      <c r="L38" s="4">
        <v>3367</v>
      </c>
      <c r="M38" s="4">
        <v>3289</v>
      </c>
      <c r="N38" s="4">
        <v>3307</v>
      </c>
    </row>
    <row r="39" spans="2:14" x14ac:dyDescent="0.2">
      <c r="B39" s="5" t="s">
        <v>7</v>
      </c>
      <c r="C39" s="3">
        <v>308</v>
      </c>
      <c r="D39" s="3">
        <v>297</v>
      </c>
      <c r="E39" s="3">
        <v>285</v>
      </c>
      <c r="F39" s="3">
        <v>276</v>
      </c>
      <c r="G39" s="3">
        <v>262</v>
      </c>
      <c r="H39" s="3">
        <v>248</v>
      </c>
      <c r="I39" s="3">
        <v>233</v>
      </c>
      <c r="J39" s="3">
        <v>233</v>
      </c>
      <c r="K39" s="3">
        <v>250</v>
      </c>
      <c r="L39" s="3">
        <v>248</v>
      </c>
      <c r="M39" s="3">
        <v>241</v>
      </c>
      <c r="N39" s="3">
        <v>229</v>
      </c>
    </row>
    <row r="40" spans="2:14" x14ac:dyDescent="0.2">
      <c r="B40" s="5" t="s">
        <v>8</v>
      </c>
      <c r="C40" s="4">
        <v>2472</v>
      </c>
      <c r="D40" s="4">
        <v>2441</v>
      </c>
      <c r="E40" s="4">
        <v>2534</v>
      </c>
      <c r="F40" s="4">
        <v>2809</v>
      </c>
      <c r="G40" s="4">
        <v>3037</v>
      </c>
      <c r="H40" s="4">
        <v>3109</v>
      </c>
      <c r="I40" s="4">
        <v>3352</v>
      </c>
      <c r="J40" s="4">
        <v>3576</v>
      </c>
      <c r="K40" s="4">
        <v>3892</v>
      </c>
      <c r="L40" s="4">
        <v>4143</v>
      </c>
      <c r="M40" s="4">
        <v>4397</v>
      </c>
      <c r="N40" s="4">
        <v>4717</v>
      </c>
    </row>
    <row r="41" spans="2:14" x14ac:dyDescent="0.2">
      <c r="B41" s="5" t="s">
        <v>9</v>
      </c>
      <c r="C41" s="4">
        <v>1480</v>
      </c>
      <c r="D41" s="4">
        <v>1413</v>
      </c>
      <c r="E41" s="4">
        <v>1405</v>
      </c>
      <c r="F41" s="4">
        <v>1411</v>
      </c>
      <c r="G41" s="4">
        <v>1392</v>
      </c>
      <c r="H41" s="4">
        <v>1369</v>
      </c>
      <c r="I41" s="4">
        <v>1355</v>
      </c>
      <c r="J41" s="4">
        <v>1335</v>
      </c>
      <c r="K41" s="4">
        <v>1355</v>
      </c>
      <c r="L41" s="4">
        <v>2995</v>
      </c>
      <c r="M41" s="4">
        <v>2891</v>
      </c>
      <c r="N41" s="4">
        <v>2783</v>
      </c>
    </row>
    <row r="42" spans="2:14" x14ac:dyDescent="0.2">
      <c r="B42" s="5" t="s">
        <v>10</v>
      </c>
      <c r="C42" s="4">
        <v>1950</v>
      </c>
      <c r="D42" s="4">
        <v>1885</v>
      </c>
      <c r="E42" s="4">
        <v>1881</v>
      </c>
      <c r="F42" s="4">
        <v>1874</v>
      </c>
      <c r="G42" s="4">
        <v>1832</v>
      </c>
      <c r="H42" s="4">
        <v>1799</v>
      </c>
      <c r="I42" s="4">
        <v>1745</v>
      </c>
      <c r="J42" s="4">
        <v>1709</v>
      </c>
      <c r="K42" s="4">
        <v>1682</v>
      </c>
      <c r="L42" s="3" t="s">
        <v>22</v>
      </c>
      <c r="M42" s="3" t="s">
        <v>22</v>
      </c>
      <c r="N42" s="3" t="s">
        <v>22</v>
      </c>
    </row>
    <row r="43" spans="2:14" x14ac:dyDescent="0.2">
      <c r="B43" s="5" t="s">
        <v>25</v>
      </c>
      <c r="C43" s="4">
        <v>3849</v>
      </c>
      <c r="D43" s="4">
        <v>3958</v>
      </c>
      <c r="E43" s="4">
        <v>3918</v>
      </c>
      <c r="F43" s="4">
        <v>3868</v>
      </c>
      <c r="G43" s="4">
        <v>3776</v>
      </c>
      <c r="H43" s="4">
        <v>3507</v>
      </c>
      <c r="I43" s="4">
        <v>3432</v>
      </c>
      <c r="J43" s="4">
        <v>3376</v>
      </c>
      <c r="K43" s="4">
        <v>3259</v>
      </c>
      <c r="L43" s="4">
        <v>3174</v>
      </c>
      <c r="M43" s="4">
        <v>3007</v>
      </c>
      <c r="N43" s="4">
        <v>3063</v>
      </c>
    </row>
    <row r="44" spans="2:14" x14ac:dyDescent="0.2">
      <c r="B44" s="5" t="s">
        <v>26</v>
      </c>
      <c r="C44" s="3">
        <v>586</v>
      </c>
      <c r="D44" s="3">
        <v>597</v>
      </c>
      <c r="E44" s="3">
        <v>618</v>
      </c>
      <c r="F44" s="3">
        <v>635</v>
      </c>
      <c r="G44" s="3">
        <v>654</v>
      </c>
      <c r="H44" s="3">
        <v>647</v>
      </c>
      <c r="I44" s="3">
        <v>715</v>
      </c>
      <c r="J44" s="3">
        <v>708</v>
      </c>
      <c r="K44" s="3">
        <v>711</v>
      </c>
      <c r="L44" s="3">
        <v>720</v>
      </c>
      <c r="M44" s="3">
        <v>695</v>
      </c>
      <c r="N44" s="3">
        <v>694</v>
      </c>
    </row>
    <row r="45" spans="2:14" x14ac:dyDescent="0.2">
      <c r="B45" s="5" t="s">
        <v>27</v>
      </c>
      <c r="C45" s="4">
        <v>22220</v>
      </c>
      <c r="D45" s="4">
        <v>22587</v>
      </c>
      <c r="E45" s="4">
        <v>22876</v>
      </c>
      <c r="F45" s="4">
        <v>23433</v>
      </c>
      <c r="G45" s="4">
        <v>24426</v>
      </c>
      <c r="H45" s="4">
        <v>25966</v>
      </c>
      <c r="I45" s="4">
        <v>26586</v>
      </c>
      <c r="J45" s="4">
        <v>26842</v>
      </c>
      <c r="K45" s="4">
        <v>28479</v>
      </c>
      <c r="L45" s="4">
        <v>29497</v>
      </c>
      <c r="M45" s="4">
        <v>29766</v>
      </c>
      <c r="N45" s="4">
        <v>31031</v>
      </c>
    </row>
    <row r="46" spans="2:14" x14ac:dyDescent="0.2">
      <c r="B46" s="5" t="s">
        <v>28</v>
      </c>
      <c r="C46" s="4">
        <v>6142</v>
      </c>
      <c r="D46" s="4">
        <v>6163</v>
      </c>
      <c r="E46" s="4">
        <v>6117</v>
      </c>
      <c r="F46" s="4">
        <v>8243</v>
      </c>
      <c r="G46" s="4">
        <v>7953</v>
      </c>
      <c r="H46" s="4">
        <v>8503</v>
      </c>
      <c r="I46" s="4">
        <v>8891</v>
      </c>
      <c r="J46" s="4">
        <v>11835</v>
      </c>
      <c r="K46" s="4">
        <v>11252</v>
      </c>
      <c r="L46" s="4">
        <v>11638</v>
      </c>
      <c r="M46" s="4">
        <v>11294</v>
      </c>
      <c r="N46" s="4">
        <v>10603</v>
      </c>
    </row>
    <row r="47" spans="2:14" x14ac:dyDescent="0.2">
      <c r="B47" s="5" t="s">
        <v>29</v>
      </c>
      <c r="C47" s="4">
        <v>2489</v>
      </c>
      <c r="D47" s="4">
        <v>2654</v>
      </c>
      <c r="E47" s="4">
        <v>2806</v>
      </c>
      <c r="F47" s="4">
        <v>2784</v>
      </c>
      <c r="G47" s="4">
        <v>2767</v>
      </c>
      <c r="H47" s="4">
        <v>2721</v>
      </c>
      <c r="I47" s="4">
        <v>2671</v>
      </c>
      <c r="J47" s="4">
        <v>2691</v>
      </c>
      <c r="K47" s="4">
        <v>2687</v>
      </c>
      <c r="L47" s="4">
        <v>2677</v>
      </c>
      <c r="M47" s="4">
        <v>2665</v>
      </c>
      <c r="N47" s="4">
        <v>2632</v>
      </c>
    </row>
    <row r="48" spans="2:14" x14ac:dyDescent="0.2">
      <c r="B48" s="5" t="s">
        <v>30</v>
      </c>
      <c r="C48" s="3">
        <v>861</v>
      </c>
      <c r="D48" s="3">
        <v>955</v>
      </c>
      <c r="E48" s="3">
        <v>943</v>
      </c>
      <c r="F48" s="3">
        <v>965</v>
      </c>
      <c r="G48" s="3">
        <v>945</v>
      </c>
      <c r="H48" s="4">
        <v>1016</v>
      </c>
      <c r="I48" s="4">
        <v>1019</v>
      </c>
      <c r="J48" s="4">
        <v>1000</v>
      </c>
      <c r="K48" s="4">
        <v>1022</v>
      </c>
      <c r="L48" s="4">
        <v>1009</v>
      </c>
      <c r="M48" s="4">
        <v>1009</v>
      </c>
      <c r="N48" s="4">
        <v>1015</v>
      </c>
    </row>
    <row r="49" spans="2:14" x14ac:dyDescent="0.2">
      <c r="B49" s="5" t="s">
        <v>31</v>
      </c>
      <c r="C49" s="4">
        <v>2556</v>
      </c>
      <c r="D49" s="4">
        <v>2697</v>
      </c>
      <c r="E49" s="4">
        <v>2688</v>
      </c>
      <c r="F49" s="4">
        <v>2738</v>
      </c>
      <c r="G49" s="4">
        <v>2831</v>
      </c>
      <c r="H49" s="4">
        <v>2858</v>
      </c>
      <c r="I49" s="4">
        <v>2866</v>
      </c>
      <c r="J49" s="4">
        <v>2857</v>
      </c>
      <c r="K49" s="4">
        <v>2875</v>
      </c>
      <c r="L49" s="4">
        <v>2862</v>
      </c>
      <c r="M49" s="4">
        <v>2879</v>
      </c>
      <c r="N49" s="4">
        <v>2897</v>
      </c>
    </row>
    <row r="50" spans="2:14" x14ac:dyDescent="0.2">
      <c r="B50" s="5" t="s">
        <v>32</v>
      </c>
      <c r="C50" s="4">
        <v>11460</v>
      </c>
      <c r="D50" s="4">
        <v>11753</v>
      </c>
      <c r="E50" s="4">
        <v>12107</v>
      </c>
      <c r="F50" s="4">
        <v>12566</v>
      </c>
      <c r="G50" s="4">
        <v>12973</v>
      </c>
      <c r="H50" s="4">
        <v>13344</v>
      </c>
      <c r="I50" s="4">
        <v>13518</v>
      </c>
      <c r="J50" s="4">
        <v>13789</v>
      </c>
      <c r="K50" s="4">
        <v>14169</v>
      </c>
      <c r="L50" s="4">
        <v>14235</v>
      </c>
      <c r="M50" s="4">
        <v>14302</v>
      </c>
      <c r="N50" s="4">
        <v>14510</v>
      </c>
    </row>
  </sheetData>
  <mergeCells count="2">
    <mergeCell ref="B3:K3"/>
    <mergeCell ref="B2:K2"/>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38"/>
  <sheetViews>
    <sheetView workbookViewId="0">
      <selection activeCell="B18" sqref="B18:K30"/>
    </sheetView>
  </sheetViews>
  <sheetFormatPr defaultColWidth="12.85546875" defaultRowHeight="12.75" x14ac:dyDescent="0.2"/>
  <cols>
    <col min="1" max="1" width="3.85546875" style="1" customWidth="1"/>
    <col min="2" max="2" width="34.140625" style="1" customWidth="1"/>
    <col min="3" max="16384" width="12.85546875" style="1"/>
  </cols>
  <sheetData>
    <row r="2" spans="2:13" x14ac:dyDescent="0.2">
      <c r="B2" s="9" t="s">
        <v>33</v>
      </c>
      <c r="C2" s="9"/>
      <c r="D2" s="9"/>
      <c r="E2" s="9"/>
      <c r="F2" s="9"/>
      <c r="G2" s="9"/>
      <c r="H2" s="9"/>
      <c r="I2" s="9"/>
      <c r="J2" s="9"/>
      <c r="K2" s="9"/>
      <c r="L2" s="9"/>
      <c r="M2" s="9"/>
    </row>
    <row r="3" spans="2:13" x14ac:dyDescent="0.2">
      <c r="B3" s="6" t="s">
        <v>0</v>
      </c>
      <c r="C3" s="6"/>
      <c r="D3" s="6"/>
      <c r="E3" s="6"/>
      <c r="F3" s="6"/>
      <c r="G3" s="6"/>
      <c r="H3" s="6"/>
      <c r="I3" s="6"/>
      <c r="J3" s="6"/>
      <c r="K3" s="6"/>
      <c r="L3" s="6"/>
      <c r="M3" s="6"/>
    </row>
    <row r="4" spans="2:13" ht="25.5" x14ac:dyDescent="0.2">
      <c r="B4" s="5" t="s">
        <v>1</v>
      </c>
      <c r="C4" s="5" t="s">
        <v>34</v>
      </c>
      <c r="D4" s="5" t="s">
        <v>35</v>
      </c>
      <c r="E4" s="5" t="s">
        <v>36</v>
      </c>
      <c r="F4" s="5" t="s">
        <v>37</v>
      </c>
      <c r="G4" s="5" t="s">
        <v>38</v>
      </c>
      <c r="H4" s="5" t="s">
        <v>39</v>
      </c>
      <c r="I4" s="5" t="s">
        <v>40</v>
      </c>
      <c r="J4" s="5" t="s">
        <v>41</v>
      </c>
      <c r="K4" s="5" t="s">
        <v>42</v>
      </c>
      <c r="L4" s="5" t="s">
        <v>43</v>
      </c>
      <c r="M4" s="5" t="s">
        <v>44</v>
      </c>
    </row>
    <row r="5" spans="2:13" x14ac:dyDescent="0.2">
      <c r="B5" s="2" t="s">
        <v>12</v>
      </c>
      <c r="C5" s="4">
        <v>7031</v>
      </c>
      <c r="D5" s="3" t="s">
        <v>22</v>
      </c>
      <c r="E5" s="4">
        <v>4286</v>
      </c>
      <c r="F5" s="4">
        <v>28215</v>
      </c>
      <c r="G5" s="3">
        <v>102</v>
      </c>
      <c r="H5" s="3">
        <v>100</v>
      </c>
      <c r="I5" s="3" t="s">
        <v>11</v>
      </c>
      <c r="J5" s="3">
        <v>86</v>
      </c>
      <c r="K5" s="4">
        <v>2678</v>
      </c>
      <c r="L5" s="3">
        <v>832</v>
      </c>
      <c r="M5" s="4">
        <v>12593</v>
      </c>
    </row>
    <row r="6" spans="2:13" x14ac:dyDescent="0.2">
      <c r="B6" s="2" t="s">
        <v>13</v>
      </c>
      <c r="C6" s="4">
        <v>7129</v>
      </c>
      <c r="D6" s="3" t="s">
        <v>22</v>
      </c>
      <c r="E6" s="4">
        <v>4206</v>
      </c>
      <c r="F6" s="4">
        <v>28949</v>
      </c>
      <c r="G6" s="3">
        <v>128</v>
      </c>
      <c r="H6" s="3">
        <v>116</v>
      </c>
      <c r="I6" s="3" t="s">
        <v>11</v>
      </c>
      <c r="J6" s="3">
        <v>106</v>
      </c>
      <c r="K6" s="4">
        <v>2854</v>
      </c>
      <c r="L6" s="3">
        <v>911</v>
      </c>
      <c r="M6" s="4">
        <v>12427</v>
      </c>
    </row>
    <row r="7" spans="2:13" x14ac:dyDescent="0.2">
      <c r="B7" s="2" t="s">
        <v>14</v>
      </c>
      <c r="C7" s="4">
        <v>7132</v>
      </c>
      <c r="D7" s="3" t="s">
        <v>22</v>
      </c>
      <c r="E7" s="4">
        <v>4047</v>
      </c>
      <c r="F7" s="4">
        <v>29123</v>
      </c>
      <c r="G7" s="3">
        <v>145</v>
      </c>
      <c r="H7" s="3">
        <v>108</v>
      </c>
      <c r="I7" s="3" t="s">
        <v>11</v>
      </c>
      <c r="J7" s="3">
        <v>134</v>
      </c>
      <c r="K7" s="4">
        <v>2714</v>
      </c>
      <c r="L7" s="3">
        <v>857</v>
      </c>
      <c r="M7" s="4">
        <v>12278</v>
      </c>
    </row>
    <row r="8" spans="2:13" x14ac:dyDescent="0.2">
      <c r="B8" s="2" t="s">
        <v>15</v>
      </c>
      <c r="C8" s="4">
        <v>7320</v>
      </c>
      <c r="D8" s="3" t="s">
        <v>22</v>
      </c>
      <c r="E8" s="4">
        <v>4240</v>
      </c>
      <c r="F8" s="4">
        <v>28601</v>
      </c>
      <c r="G8" s="3">
        <v>160</v>
      </c>
      <c r="H8" s="3">
        <v>109</v>
      </c>
      <c r="I8" s="3" t="s">
        <v>11</v>
      </c>
      <c r="J8" s="3">
        <v>197</v>
      </c>
      <c r="K8" s="4">
        <v>2803</v>
      </c>
      <c r="L8" s="3">
        <v>716</v>
      </c>
      <c r="M8" s="4">
        <v>12413</v>
      </c>
    </row>
    <row r="9" spans="2:13" x14ac:dyDescent="0.2">
      <c r="B9" s="2" t="s">
        <v>16</v>
      </c>
      <c r="C9" s="4">
        <v>7580</v>
      </c>
      <c r="D9" s="3" t="s">
        <v>22</v>
      </c>
      <c r="E9" s="4">
        <v>4426</v>
      </c>
      <c r="F9" s="4">
        <v>28210</v>
      </c>
      <c r="G9" s="3">
        <v>173</v>
      </c>
      <c r="H9" s="3">
        <v>102</v>
      </c>
      <c r="I9" s="3" t="s">
        <v>11</v>
      </c>
      <c r="J9" s="3">
        <v>185</v>
      </c>
      <c r="K9" s="4">
        <v>2948</v>
      </c>
      <c r="L9" s="3">
        <v>682</v>
      </c>
      <c r="M9" s="4">
        <v>12521</v>
      </c>
    </row>
    <row r="10" spans="2:13" x14ac:dyDescent="0.2">
      <c r="B10" s="2" t="s">
        <v>17</v>
      </c>
      <c r="C10" s="4">
        <v>7697</v>
      </c>
      <c r="D10" s="3" t="s">
        <v>22</v>
      </c>
      <c r="E10" s="4">
        <v>4494</v>
      </c>
      <c r="F10" s="4">
        <v>27010</v>
      </c>
      <c r="G10" s="3">
        <v>188</v>
      </c>
      <c r="H10" s="3">
        <v>120</v>
      </c>
      <c r="I10" s="3" t="s">
        <v>11</v>
      </c>
      <c r="J10" s="3">
        <v>192</v>
      </c>
      <c r="K10" s="4">
        <v>3051</v>
      </c>
      <c r="L10" s="3">
        <v>665</v>
      </c>
      <c r="M10" s="4">
        <v>12489</v>
      </c>
    </row>
    <row r="11" spans="2:13" x14ac:dyDescent="0.2">
      <c r="B11" s="2" t="s">
        <v>18</v>
      </c>
      <c r="C11" s="4">
        <v>7649</v>
      </c>
      <c r="D11" s="3" t="s">
        <v>22</v>
      </c>
      <c r="E11" s="4">
        <v>4533</v>
      </c>
      <c r="F11" s="4">
        <v>26393</v>
      </c>
      <c r="G11" s="3">
        <v>191</v>
      </c>
      <c r="H11" s="3">
        <v>133</v>
      </c>
      <c r="I11" s="3" t="s">
        <v>11</v>
      </c>
      <c r="J11" s="3">
        <v>186</v>
      </c>
      <c r="K11" s="4">
        <v>3066</v>
      </c>
      <c r="L11" s="3">
        <v>681</v>
      </c>
      <c r="M11" s="4">
        <v>12726</v>
      </c>
    </row>
    <row r="12" spans="2:13" x14ac:dyDescent="0.2">
      <c r="B12" s="2" t="s">
        <v>19</v>
      </c>
      <c r="C12" s="4">
        <v>7696</v>
      </c>
      <c r="D12" s="3" t="s">
        <v>22</v>
      </c>
      <c r="E12" s="4">
        <v>4640</v>
      </c>
      <c r="F12" s="4">
        <v>25972</v>
      </c>
      <c r="G12" s="3">
        <v>197</v>
      </c>
      <c r="H12" s="3">
        <v>148</v>
      </c>
      <c r="I12" s="3" t="s">
        <v>11</v>
      </c>
      <c r="J12" s="3">
        <v>187</v>
      </c>
      <c r="K12" s="4">
        <v>3063</v>
      </c>
      <c r="L12" s="3">
        <v>703</v>
      </c>
      <c r="M12" s="4">
        <v>12825</v>
      </c>
    </row>
    <row r="13" spans="2:13" x14ac:dyDescent="0.2">
      <c r="B13" s="2" t="s">
        <v>20</v>
      </c>
      <c r="C13" s="4">
        <v>7796</v>
      </c>
      <c r="D13" s="3">
        <v>3</v>
      </c>
      <c r="E13" s="4">
        <v>4771</v>
      </c>
      <c r="F13" s="4">
        <v>25610</v>
      </c>
      <c r="G13" s="3">
        <v>204</v>
      </c>
      <c r="H13" s="3">
        <v>158</v>
      </c>
      <c r="I13" s="3">
        <v>215</v>
      </c>
      <c r="J13" s="3">
        <v>190</v>
      </c>
      <c r="K13" s="4">
        <v>3079</v>
      </c>
      <c r="L13" s="3">
        <v>727</v>
      </c>
      <c r="M13" s="4">
        <v>13092</v>
      </c>
    </row>
    <row r="14" spans="2:13" x14ac:dyDescent="0.2">
      <c r="B14" s="2" t="s">
        <v>21</v>
      </c>
      <c r="C14" s="4">
        <v>7886</v>
      </c>
      <c r="D14" s="3">
        <v>2</v>
      </c>
      <c r="E14" s="4">
        <v>4914</v>
      </c>
      <c r="F14" s="4">
        <v>26059</v>
      </c>
      <c r="G14" s="3">
        <v>204</v>
      </c>
      <c r="H14" s="3">
        <v>163</v>
      </c>
      <c r="I14" s="3">
        <v>206</v>
      </c>
      <c r="J14" s="3">
        <v>192</v>
      </c>
      <c r="K14" s="4">
        <v>3246</v>
      </c>
      <c r="L14" s="3">
        <v>776</v>
      </c>
      <c r="M14" s="4">
        <v>13089</v>
      </c>
    </row>
    <row r="15" spans="2:13" x14ac:dyDescent="0.2">
      <c r="B15" s="2" t="s">
        <v>23</v>
      </c>
      <c r="C15" s="4">
        <v>7712</v>
      </c>
      <c r="D15" s="3">
        <v>2</v>
      </c>
      <c r="E15" s="4">
        <v>5010</v>
      </c>
      <c r="F15" s="4">
        <v>26350</v>
      </c>
      <c r="G15" s="3">
        <v>218</v>
      </c>
      <c r="H15" s="3">
        <v>186</v>
      </c>
      <c r="I15" s="3">
        <v>208</v>
      </c>
      <c r="J15" s="3">
        <v>191</v>
      </c>
      <c r="K15" s="4">
        <v>3204</v>
      </c>
      <c r="L15" s="3">
        <v>760</v>
      </c>
      <c r="M15" s="4">
        <v>13131</v>
      </c>
    </row>
    <row r="16" spans="2:13" x14ac:dyDescent="0.2">
      <c r="B16" s="2" t="s">
        <v>24</v>
      </c>
      <c r="C16" s="4">
        <v>7592</v>
      </c>
      <c r="D16" s="3">
        <v>30</v>
      </c>
      <c r="E16" s="4">
        <v>5058</v>
      </c>
      <c r="F16" s="4">
        <v>26446</v>
      </c>
      <c r="G16" s="3">
        <v>237</v>
      </c>
      <c r="H16" s="3">
        <v>192</v>
      </c>
      <c r="I16" s="3">
        <v>206</v>
      </c>
      <c r="J16" s="3">
        <v>193</v>
      </c>
      <c r="K16" s="4">
        <v>3244</v>
      </c>
      <c r="L16" s="3">
        <v>765</v>
      </c>
      <c r="M16" s="4">
        <v>13228</v>
      </c>
    </row>
    <row r="18" spans="2:11" ht="25.5" x14ac:dyDescent="0.2">
      <c r="B18" s="5" t="s">
        <v>1</v>
      </c>
      <c r="C18" s="5" t="s">
        <v>45</v>
      </c>
      <c r="D18" s="5" t="s">
        <v>46</v>
      </c>
      <c r="E18" s="5" t="s">
        <v>47</v>
      </c>
      <c r="F18" s="5" t="s">
        <v>48</v>
      </c>
      <c r="G18" s="5" t="s">
        <v>49</v>
      </c>
      <c r="H18" s="5" t="s">
        <v>50</v>
      </c>
      <c r="I18" s="5" t="s">
        <v>61</v>
      </c>
      <c r="J18" s="5" t="s">
        <v>51</v>
      </c>
      <c r="K18" s="5" t="s">
        <v>52</v>
      </c>
    </row>
    <row r="19" spans="2:11" x14ac:dyDescent="0.2">
      <c r="B19" s="2" t="s">
        <v>12</v>
      </c>
      <c r="C19" s="4">
        <v>8444</v>
      </c>
      <c r="D19" s="3">
        <v>61</v>
      </c>
      <c r="E19" s="4">
        <v>36996</v>
      </c>
      <c r="F19" s="3" t="s">
        <v>22</v>
      </c>
      <c r="G19" s="3">
        <v>446</v>
      </c>
      <c r="H19" s="4">
        <v>14090</v>
      </c>
      <c r="I19" s="4">
        <v>2843</v>
      </c>
      <c r="J19" s="4">
        <v>8402</v>
      </c>
      <c r="K19" s="4">
        <v>217554</v>
      </c>
    </row>
    <row r="20" spans="2:11" x14ac:dyDescent="0.2">
      <c r="B20" s="2" t="s">
        <v>13</v>
      </c>
      <c r="C20" s="4">
        <v>8782</v>
      </c>
      <c r="D20" s="3">
        <v>65</v>
      </c>
      <c r="E20" s="4">
        <v>36869</v>
      </c>
      <c r="F20" s="4">
        <v>13656</v>
      </c>
      <c r="G20" s="3">
        <v>534</v>
      </c>
      <c r="H20" s="4">
        <v>14440</v>
      </c>
      <c r="I20" s="4">
        <v>2911</v>
      </c>
      <c r="J20" s="4">
        <v>8607</v>
      </c>
      <c r="K20" s="4">
        <v>222120</v>
      </c>
    </row>
    <row r="21" spans="2:11" x14ac:dyDescent="0.2">
      <c r="B21" s="2" t="s">
        <v>14</v>
      </c>
      <c r="C21" s="4">
        <v>8820</v>
      </c>
      <c r="D21" s="3">
        <v>66</v>
      </c>
      <c r="E21" s="4">
        <v>37378</v>
      </c>
      <c r="F21" s="4">
        <v>14110</v>
      </c>
      <c r="G21" s="3">
        <v>552</v>
      </c>
      <c r="H21" s="4">
        <v>14463</v>
      </c>
      <c r="I21" s="4">
        <v>2936</v>
      </c>
      <c r="J21" s="4">
        <v>8859</v>
      </c>
      <c r="K21" s="4">
        <v>224576</v>
      </c>
    </row>
    <row r="22" spans="2:11" x14ac:dyDescent="0.2">
      <c r="B22" s="2" t="s">
        <v>15</v>
      </c>
      <c r="C22" s="4">
        <v>8986</v>
      </c>
      <c r="D22" s="3">
        <v>67</v>
      </c>
      <c r="E22" s="4">
        <v>37878</v>
      </c>
      <c r="F22" s="4">
        <v>14427</v>
      </c>
      <c r="G22" s="3">
        <v>548</v>
      </c>
      <c r="H22" s="4">
        <v>14867</v>
      </c>
      <c r="I22" s="4">
        <v>2987</v>
      </c>
      <c r="J22" s="4">
        <v>9112</v>
      </c>
      <c r="K22" s="4">
        <v>230435</v>
      </c>
    </row>
    <row r="23" spans="2:11" x14ac:dyDescent="0.2">
      <c r="B23" s="2" t="s">
        <v>16</v>
      </c>
      <c r="C23" s="4">
        <v>9049</v>
      </c>
      <c r="D23" s="3">
        <v>68</v>
      </c>
      <c r="E23" s="4">
        <v>37331</v>
      </c>
      <c r="F23" s="4">
        <v>14874</v>
      </c>
      <c r="G23" s="3">
        <v>558</v>
      </c>
      <c r="H23" s="4">
        <v>15291</v>
      </c>
      <c r="I23" s="4">
        <v>2978</v>
      </c>
      <c r="J23" s="4">
        <v>9300</v>
      </c>
      <c r="K23" s="4">
        <v>233116</v>
      </c>
    </row>
    <row r="24" spans="2:11" x14ac:dyDescent="0.2">
      <c r="B24" s="2" t="s">
        <v>17</v>
      </c>
      <c r="C24" s="4">
        <v>9026</v>
      </c>
      <c r="D24" s="3">
        <v>71</v>
      </c>
      <c r="E24" s="4">
        <v>37220</v>
      </c>
      <c r="F24" s="4">
        <v>15028</v>
      </c>
      <c r="G24" s="3">
        <v>585</v>
      </c>
      <c r="H24" s="4">
        <v>15294</v>
      </c>
      <c r="I24" s="4">
        <v>2987</v>
      </c>
      <c r="J24" s="4">
        <v>9587</v>
      </c>
      <c r="K24" s="4">
        <v>234865</v>
      </c>
    </row>
    <row r="25" spans="2:11" x14ac:dyDescent="0.2">
      <c r="B25" s="2" t="s">
        <v>18</v>
      </c>
      <c r="C25" s="4">
        <v>9212</v>
      </c>
      <c r="D25" s="3">
        <v>82</v>
      </c>
      <c r="E25" s="4">
        <v>37787</v>
      </c>
      <c r="F25" s="4">
        <v>15263</v>
      </c>
      <c r="G25" s="3">
        <v>607</v>
      </c>
      <c r="H25" s="4">
        <v>15830</v>
      </c>
      <c r="I25" s="4">
        <v>2998</v>
      </c>
      <c r="J25" s="4">
        <v>9534</v>
      </c>
      <c r="K25" s="4">
        <v>237684</v>
      </c>
    </row>
    <row r="26" spans="2:11" x14ac:dyDescent="0.2">
      <c r="B26" s="2" t="s">
        <v>19</v>
      </c>
      <c r="C26" s="4">
        <v>9424</v>
      </c>
      <c r="D26" s="3">
        <v>84</v>
      </c>
      <c r="E26" s="4">
        <v>38131</v>
      </c>
      <c r="F26" s="4">
        <v>15167</v>
      </c>
      <c r="G26" s="3">
        <v>621</v>
      </c>
      <c r="H26" s="4">
        <v>15854</v>
      </c>
      <c r="I26" s="4">
        <v>3002</v>
      </c>
      <c r="J26" s="4">
        <v>9420</v>
      </c>
      <c r="K26" s="4">
        <v>242395</v>
      </c>
    </row>
    <row r="27" spans="2:11" x14ac:dyDescent="0.2">
      <c r="B27" s="2" t="s">
        <v>20</v>
      </c>
      <c r="C27" s="4">
        <v>9694</v>
      </c>
      <c r="D27" s="3">
        <v>84</v>
      </c>
      <c r="E27" s="4">
        <v>38837</v>
      </c>
      <c r="F27" s="4">
        <v>15271</v>
      </c>
      <c r="G27" s="3">
        <v>657</v>
      </c>
      <c r="H27" s="4">
        <v>16184</v>
      </c>
      <c r="I27" s="4">
        <v>2969</v>
      </c>
      <c r="J27" s="4">
        <v>9650</v>
      </c>
      <c r="K27" s="4">
        <v>246504</v>
      </c>
    </row>
    <row r="28" spans="2:11" x14ac:dyDescent="0.2">
      <c r="B28" s="2" t="s">
        <v>21</v>
      </c>
      <c r="C28" s="4">
        <v>9886</v>
      </c>
      <c r="D28" s="3">
        <v>84</v>
      </c>
      <c r="E28" s="4">
        <v>39393</v>
      </c>
      <c r="F28" s="4">
        <v>15342</v>
      </c>
      <c r="G28" s="3">
        <v>680</v>
      </c>
      <c r="H28" s="4">
        <v>16503</v>
      </c>
      <c r="I28" s="4">
        <v>2988</v>
      </c>
      <c r="J28" s="4">
        <v>9863</v>
      </c>
      <c r="K28" s="4">
        <v>250454</v>
      </c>
    </row>
    <row r="29" spans="2:11" x14ac:dyDescent="0.2">
      <c r="B29" s="2" t="s">
        <v>23</v>
      </c>
      <c r="C29" s="4">
        <v>10237</v>
      </c>
      <c r="D29" s="3">
        <v>84</v>
      </c>
      <c r="E29" s="4">
        <v>39512</v>
      </c>
      <c r="F29" s="4">
        <v>13251</v>
      </c>
      <c r="G29" s="3">
        <v>682</v>
      </c>
      <c r="H29" s="4">
        <v>17481</v>
      </c>
      <c r="I29" s="4">
        <v>2978</v>
      </c>
      <c r="J29" s="4">
        <v>9727</v>
      </c>
      <c r="K29" s="4">
        <v>249987</v>
      </c>
    </row>
    <row r="30" spans="2:11" x14ac:dyDescent="0.2">
      <c r="B30" s="2" t="s">
        <v>24</v>
      </c>
      <c r="C30" s="4">
        <v>10528</v>
      </c>
      <c r="D30" s="3">
        <v>90</v>
      </c>
      <c r="E30" s="4">
        <v>39666</v>
      </c>
      <c r="F30" s="4">
        <v>13063</v>
      </c>
      <c r="G30" s="3">
        <v>699</v>
      </c>
      <c r="H30" s="4">
        <v>19102</v>
      </c>
      <c r="I30" s="4">
        <v>2870</v>
      </c>
      <c r="J30" s="4">
        <v>10237</v>
      </c>
      <c r="K30" s="4">
        <v>253334</v>
      </c>
    </row>
    <row r="31" spans="2:11" x14ac:dyDescent="0.2">
      <c r="B31" s="8" t="s">
        <v>53</v>
      </c>
      <c r="C31" s="8"/>
      <c r="D31" s="8"/>
      <c r="E31" s="8"/>
      <c r="F31" s="8"/>
      <c r="G31" s="8"/>
      <c r="H31" s="8"/>
      <c r="I31" s="8"/>
      <c r="J31" s="8"/>
      <c r="K31" s="8"/>
    </row>
    <row r="32" spans="2:11" ht="25.5" customHeight="1" x14ac:dyDescent="0.2">
      <c r="B32" s="8" t="s">
        <v>54</v>
      </c>
      <c r="C32" s="8"/>
      <c r="D32" s="8"/>
      <c r="E32" s="8"/>
      <c r="F32" s="8"/>
      <c r="G32" s="8"/>
      <c r="H32" s="8"/>
      <c r="I32" s="8"/>
      <c r="J32" s="8"/>
      <c r="K32" s="8"/>
    </row>
    <row r="33" spans="2:11" x14ac:dyDescent="0.2">
      <c r="B33" s="8" t="s">
        <v>55</v>
      </c>
      <c r="C33" s="8"/>
      <c r="D33" s="8"/>
      <c r="E33" s="8"/>
      <c r="F33" s="8"/>
      <c r="G33" s="8"/>
      <c r="H33" s="8"/>
      <c r="I33" s="8"/>
      <c r="J33" s="8"/>
      <c r="K33" s="8"/>
    </row>
    <row r="34" spans="2:11" ht="39" customHeight="1" x14ac:dyDescent="0.2">
      <c r="B34" s="8" t="s">
        <v>56</v>
      </c>
      <c r="C34" s="8"/>
      <c r="D34" s="8"/>
      <c r="E34" s="8"/>
      <c r="F34" s="8"/>
      <c r="G34" s="8"/>
      <c r="H34" s="8"/>
      <c r="I34" s="8"/>
      <c r="J34" s="8"/>
      <c r="K34" s="8"/>
    </row>
    <row r="35" spans="2:11" ht="25.5" customHeight="1" x14ac:dyDescent="0.2">
      <c r="B35" s="8" t="s">
        <v>57</v>
      </c>
      <c r="C35" s="8"/>
      <c r="D35" s="8"/>
      <c r="E35" s="8"/>
      <c r="F35" s="8"/>
      <c r="G35" s="8"/>
      <c r="H35" s="8"/>
      <c r="I35" s="8"/>
      <c r="J35" s="8"/>
      <c r="K35" s="8"/>
    </row>
    <row r="36" spans="2:11" x14ac:dyDescent="0.2">
      <c r="B36" s="8" t="s">
        <v>58</v>
      </c>
      <c r="C36" s="8"/>
      <c r="D36" s="8"/>
      <c r="E36" s="8"/>
      <c r="F36" s="8"/>
      <c r="G36" s="8"/>
      <c r="H36" s="8"/>
      <c r="I36" s="8"/>
      <c r="J36" s="8"/>
      <c r="K36" s="8"/>
    </row>
    <row r="37" spans="2:11" ht="24" customHeight="1" x14ac:dyDescent="0.2">
      <c r="B37" s="8" t="s">
        <v>59</v>
      </c>
      <c r="C37" s="8"/>
      <c r="D37" s="8"/>
      <c r="E37" s="8"/>
      <c r="F37" s="8"/>
      <c r="G37" s="8"/>
      <c r="H37" s="8"/>
      <c r="I37" s="8"/>
      <c r="J37" s="8"/>
      <c r="K37" s="8"/>
    </row>
    <row r="38" spans="2:11" x14ac:dyDescent="0.2">
      <c r="B38" s="8" t="s">
        <v>60</v>
      </c>
      <c r="C38" s="8"/>
      <c r="D38" s="8"/>
      <c r="E38" s="8"/>
      <c r="F38" s="8"/>
      <c r="G38" s="8"/>
      <c r="H38" s="8"/>
      <c r="I38" s="8"/>
      <c r="J38" s="8"/>
      <c r="K38" s="8"/>
    </row>
  </sheetData>
  <mergeCells count="10">
    <mergeCell ref="B3:M3"/>
    <mergeCell ref="B2:M2"/>
    <mergeCell ref="B31:K31"/>
    <mergeCell ref="B32:K32"/>
    <mergeCell ref="B33:K33"/>
    <mergeCell ref="B34:K34"/>
    <mergeCell ref="B35:K35"/>
    <mergeCell ref="B36:K36"/>
    <mergeCell ref="B37:K37"/>
    <mergeCell ref="B38:K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State-Wise No. of Factories</vt:lpstr>
      <vt:lpstr>T_120(i)</vt:lpstr>
      <vt:lpstr>T_120(ii)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Manoj</dc:creator>
  <cp:lastModifiedBy>Kartik Vyas</cp:lastModifiedBy>
  <dcterms:created xsi:type="dcterms:W3CDTF">2024-12-16T06:59:37Z</dcterms:created>
  <dcterms:modified xsi:type="dcterms:W3CDTF">2025-04-15T10:36:48Z</dcterms:modified>
</cp:coreProperties>
</file>